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hannel Performance" state="visible" r:id="rId5"/>
    <sheet sheetId="3" name="KPI Dashboard" state="visible" r:id="rId6"/>
    <sheet sheetId="4" name="Monthly Trends" state="visible" r:id="rId7"/>
    <sheet sheetId="5" name="Recommendations" state="visible" r:id="rId8"/>
    <sheet sheetId="6" name="Setup &amp; Instructions" state="visible" r:id="rId9"/>
  </sheets>
  <calcPr calcId="171027"/>
</workbook>
</file>

<file path=xl/sharedStrings.xml><?xml version="1.0" encoding="utf-8"?>
<sst xmlns="http://schemas.openxmlformats.org/spreadsheetml/2006/main" count="582" uniqueCount="185">
  <si>
    <t>📊 MARKETING PERFORMANCE REPORT</t>
  </si>
  <si>
    <t>Reporting Period: [Month Year] | Prepared by: [Your Name]</t>
  </si>
  <si>
    <t>TOP-LINE PERFORMANCE</t>
  </si>
  <si>
    <t/>
  </si>
  <si>
    <t>Metric</t>
  </si>
  <si>
    <t>Current Period</t>
  </si>
  <si>
    <t>Previous Period</t>
  </si>
  <si>
    <t>Change</t>
  </si>
  <si>
    <t>% Change</t>
  </si>
  <si>
    <t>Status</t>
  </si>
  <si>
    <t>Total Spend</t>
  </si>
  <si>
    <t>Total Revenue</t>
  </si>
  <si>
    <t>ROAS</t>
  </si>
  <si>
    <t>Total Conversions</t>
  </si>
  <si>
    <t>Avg. CPA</t>
  </si>
  <si>
    <t>Website Sessions</t>
  </si>
  <si>
    <t>Conversion Rate</t>
  </si>
  <si>
    <t>EXECUTIVE NARRATIVE</t>
  </si>
  <si>
    <t>🏆 Key Wins</t>
  </si>
  <si>
    <t>[Describe 2-3 top wins this period — what went well and why]</t>
  </si>
  <si>
    <t>⚠️ Areas of Concern</t>
  </si>
  <si>
    <t>[Describe 1-2 areas that need attention — be specific about the issue and magnitude]</t>
  </si>
  <si>
    <t>🔄 Key Changes</t>
  </si>
  <si>
    <t>[What changed vs. last period? New campaigns, budget shifts, market factors]</t>
  </si>
  <si>
    <t>📋 Actions Taken</t>
  </si>
  <si>
    <t>[What did the team do this period? Optimizations, launches, tests]</t>
  </si>
  <si>
    <t>🎯 Next Period Focus</t>
  </si>
  <si>
    <t>[Top 3 priorities for the upcoming period]</t>
  </si>
  <si>
    <t>📈 CHANNEL PERFORMANCE BREAKDOWN</t>
  </si>
  <si>
    <t>Period: [Month Year] | All monetary values in USD</t>
  </si>
  <si>
    <t>Channel</t>
  </si>
  <si>
    <t>Spend</t>
  </si>
  <si>
    <t>Impressions</t>
  </si>
  <si>
    <t>Clicks</t>
  </si>
  <si>
    <t>CTR</t>
  </si>
  <si>
    <t>Conversions</t>
  </si>
  <si>
    <t>Conv. Rate</t>
  </si>
  <si>
    <t>Revenue</t>
  </si>
  <si>
    <t>Notes</t>
  </si>
  <si>
    <t>Paid Search</t>
  </si>
  <si>
    <t>Paid Social</t>
  </si>
  <si>
    <t>Organic Search</t>
  </si>
  <si>
    <t>Organic Social</t>
  </si>
  <si>
    <t>Email Marketing</t>
  </si>
  <si>
    <t>Display / Programmatic</t>
  </si>
  <si>
    <t>Affiliate / Referral</t>
  </si>
  <si>
    <t>Direct / Other</t>
  </si>
  <si>
    <t>TOTAL</t>
  </si>
  <si>
    <t>💰 SPEND ALLOCATION &amp; EFFICIENCY</t>
  </si>
  <si>
    <t>% of Total Spend</t>
  </si>
  <si>
    <t>CPA</t>
  </si>
  <si>
    <t>% of Total Conv.</t>
  </si>
  <si>
    <t>Cost per Click</t>
  </si>
  <si>
    <t>% of Revenue</t>
  </si>
  <si>
    <t>Efficiency Score</t>
  </si>
  <si>
    <t>🎯 KPI DASHBOARD</t>
  </si>
  <si>
    <t>Green = ≥100% of target | Yellow = 80-99% | Red = &lt;80%</t>
  </si>
  <si>
    <t>KPI</t>
  </si>
  <si>
    <t>Target</t>
  </si>
  <si>
    <t>Actual</t>
  </si>
  <si>
    <t>Variance</t>
  </si>
  <si>
    <t>% to Target</t>
  </si>
  <si>
    <t>Trend vs. Last Month</t>
  </si>
  <si>
    <t>Total Marketing Spend</t>
  </si>
  <si>
    <t>Return on Ad Spend (ROAS)</t>
  </si>
  <si>
    <t>Cost Per Acquisition (CPA)</t>
  </si>
  <si>
    <t>Email Subscribers (net new)</t>
  </si>
  <si>
    <t>Customer Acq. Cost (CAC)</t>
  </si>
  <si>
    <t>Customer LTV</t>
  </si>
  <si>
    <t>Marketing Qualified Leads</t>
  </si>
  <si>
    <t>Sales Qualified Leads</t>
  </si>
  <si>
    <t>DASHBOARD NOTES</t>
  </si>
  <si>
    <t>[Add any context, caveats, or data quality notes here. E.g., "Revenue data excludes offline conversions" or "CPA target adjusted mid-month"]</t>
  </si>
  <si>
    <t>📅 MONTHLY TREND ANALYSIS</t>
  </si>
  <si>
    <t>Year: [2026] | Enter monthly values to track trends over 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</si>
  <si>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</si>
  <si>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</si>
  <si>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</si>
  <si>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</si>
  <si>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</si>
  <si>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</si>
  <si>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</si>
  <si>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</si>
  <si>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</si>
  <si>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</si>
  <si>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</si>
  <si>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</si>
  <si>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</si>
  <si>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YoY Change</t>
  </si>
  <si>
    <t>Email Subscribers</t>
  </si>
  <si>
    <t>New Customers</t>
  </si>
  <si>
    <t>MONTH-OVER-MONTH CHANGE (%)</t>
  </si>
  <si>
    <t>ANNOTATIONS &amp; KEY EVENTS</t>
  </si>
  <si>
    <t>Event Type</t>
  </si>
  <si>
    <t>Campaign Launches</t>
  </si>
  <si>
    <t>Budget Changes</t>
  </si>
  <si>
    <t>Algorithm / Platform Updates</t>
  </si>
  <si>
    <t>Seasonal Events</t>
  </si>
  <si>
    <t>Other Notes</t>
  </si>
  <si>
    <t>💡 RECOMMENDATIONS &amp; ACTION ITEMS</t>
  </si>
  <si>
    <t>Framework: Observation → Evidence → Recommendation → Impact → Priority</t>
  </si>
  <si>
    <t>#</t>
  </si>
  <si>
    <t>Observation</t>
  </si>
  <si>
    <t>Data Evidence</t>
  </si>
  <si>
    <t>Recommendation</t>
  </si>
  <si>
    <t>Expected Impact</t>
  </si>
  <si>
    <t>Priority</t>
  </si>
  <si>
    <t>Owner</t>
  </si>
  <si>
    <t>Timeline</t>
  </si>
  <si>
    <t>Paid social CPA increased 34% MoM</t>
  </si>
  <si>
    <t>CPA went from $24 to $32. CTR dropped 18% while CPM stayed flat. Creative fatigue likely.</t>
  </si>
  <si>
    <t>Refresh ad creative — test 3 new variations. Narrow audience targeting on underperforming segments.</t>
  </si>
  <si>
    <t>Estimated 15-20% CPA reduction within 2 weeks of new creative launch</t>
  </si>
  <si>
    <t>High</t>
  </si>
  <si>
    <t>Marketing Team</t>
  </si>
  <si>
    <t>Next 7 days</t>
  </si>
  <si>
    <t>PRIORITY SUMMARY</t>
  </si>
  <si>
    <t>🔴 High Priority</t>
  </si>
  <si>
    <t>0</t>
  </si>
  <si>
    <t>Items requiring immediate action this week</t>
  </si>
  <si>
    <t>🟡 Medium Priority</t>
  </si>
  <si>
    <t>Items to address within the next 2-4 weeks</t>
  </si>
  <si>
    <t>🟢 Low Priority</t>
  </si>
  <si>
    <t>Items for backlog / next quarter planning</t>
  </si>
  <si>
    <t>📖 SETUP &amp; INSTRUCTIONS</t>
  </si>
  <si>
    <t>METRIC DEFINITIONS</t>
  </si>
  <si>
    <t>Definition</t>
  </si>
  <si>
    <t>Number of times your ad or content was displayed to a user</t>
  </si>
  <si>
    <t>Number of times a user clicked on your ad, link, or CTA</t>
  </si>
  <si>
    <t>CTR (Click-Through Rate)</t>
  </si>
  <si>
    <t>Clicks ÷ Impressions × 100. Measures how compelling your creative/messaging is.</t>
  </si>
  <si>
    <t>Completed desired actions (purchases, sign-ups, form fills, etc.)</t>
  </si>
  <si>
    <t>Conversions ÷ Clicks × 100 (or ÷ Sessions for site-wide rate)</t>
  </si>
  <si>
    <t>CPA (Cost Per Acquisition)</t>
  </si>
  <si>
    <t>Total Spend ÷ Conversions. What you pay for each conversion.</t>
  </si>
  <si>
    <t>ROAS (Return on Ad Spend)</t>
  </si>
  <si>
    <t>Revenue ÷ Ad Spend. Every $1 spent returns $X in revenue.</t>
  </si>
  <si>
    <t>Total monetary value generated from marketing-attributed conversions</t>
  </si>
  <si>
    <t>CAC (Customer Acquisition Cost)</t>
  </si>
  <si>
    <t>Total marketing + sales cost ÷ new customers acquired</t>
  </si>
  <si>
    <t>LTV (Lifetime Value)</t>
  </si>
  <si>
    <t>Predicted total revenue from a customer over their entire relationship</t>
  </si>
  <si>
    <t>MQL (Marketing Qualified Lead)</t>
  </si>
  <si>
    <t>A lead that meets marketing criteria for sales-readiness</t>
  </si>
  <si>
    <t>SQL (Sales Qualified Lead)</t>
  </si>
  <si>
    <t>A lead that sales has accepted as ready for direct outreach</t>
  </si>
  <si>
    <t>CPM (Cost Per Mille)</t>
  </si>
  <si>
    <t>Cost per 1,000 impressions. Standard display/social metric.</t>
  </si>
  <si>
    <t>CPC (Cost Per Click)</t>
  </si>
  <si>
    <t>Total Spend ÷ Clicks. What you pay for each click.</t>
  </si>
  <si>
    <t>STATUS INDICATORS</t>
  </si>
  <si>
    <t>Indicator</t>
  </si>
  <si>
    <t>Meaning</t>
  </si>
  <si>
    <t>🟢 Green / On Track</t>
  </si>
  <si>
    <t>Metric is at or above target (≥100% of goal)</t>
  </si>
  <si>
    <t>🟡 Yellow / Monitor</t>
  </si>
  <si>
    <t>Metric is close to target but needs attention (80-99% of goal)</t>
  </si>
  <si>
    <t>🔴 Red / Action Required</t>
  </si>
  <si>
    <t>Metric is significantly below target (&lt;80% of goal)</t>
  </si>
  <si>
    <t>↑ Up</t>
  </si>
  <si>
    <t>Metric improved vs. previous period</t>
  </si>
  <si>
    <t>↓ Down</t>
  </si>
  <si>
    <t>Metric declined vs. previous period</t>
  </si>
  <si>
    <t>→ Flat</t>
  </si>
  <si>
    <t>Metric stayed roughly the same vs. previous period (within ±5%)</t>
  </si>
  <si>
    <t>WHERE TO PULL YOUR DATA</t>
  </si>
  <si>
    <t>Primary Data Source</t>
  </si>
  <si>
    <t>Google Ads / Microsoft Ads dashboard or API</t>
  </si>
  <si>
    <t>Meta Ads Manager, LinkedIn Campaign Manager, TikTok Ads, etc.</t>
  </si>
  <si>
    <t>Google Analytics 4 + Google Search Console</t>
  </si>
  <si>
    <t>Native platform analytics (Meta Insights, LinkedIn Analytics, etc.)</t>
  </si>
  <si>
    <t>ESP dashboard (Mailchimp, HubSpot, Klaviyo, etc.)</t>
  </si>
  <si>
    <t>DSP dashboard (Google DV360, The Trade Desk, etc.)</t>
  </si>
  <si>
    <t>Affiliate platform (Impact, ShareASale, etc.) + GA4 referral report</t>
  </si>
  <si>
    <t>Website / Overall</t>
  </si>
  <si>
    <t>Google Analytics 4 or Adobe Analytics</t>
  </si>
  <si>
    <t>PRO TIPS</t>
  </si>
  <si>
    <t>1. Make a copy of this template each month — keep a clean master version.</t>
  </si>
  <si>
    <t>2. Pull data consistently on the same day each month for accurate comparisons.</t>
  </si>
  <si>
    <t>3. Use the Recommendations tab every month — it's the most valuable part of the report.</t>
  </si>
  <si>
    <t>4. Add your company logo and brand colors to make the report feel custom.</t>
  </si>
  <si>
    <t>5. Hide tabs or rows you don't use rather than deleting them.</t>
  </si>
  <si>
    <t>6. Set up data connections if possible (Google Sheets → GA4, Supermetrics, etc.) to auto-populate.</t>
  </si>
  <si>
    <t>7. Present the Executive Summary first. Only dive into details when asked.</t>
  </si>
  <si>
    <t>8. Export as PDF for email distribution. Keep the live sheet for interactive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</si>
</sst>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$#,##0.00"/>
    <numFmt numFmtId="166" formatCode="0.00&quot;x&quot;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280"/>
      <sz val="11"/>
      <name val="Calibri"/>
    </font>
    <font>
      <b/>
      <color rgb="FF1B2A4A"/>
      <sz val="13"/>
      <name val="Calibri"/>
    </font>
    <font>
      <b/>
      <color rgb="FFFFFFFF"/>
      <sz val="10"/>
      <name val="Calibri"/>
    </font>
    <font>
      <color rgb="FF111827"/>
      <sz val="10"/>
      <name val="Calibri"/>
    </font>
    <font>
      <b/>
      <color rgb="FF111827"/>
      <sz val="10"/>
      <name val="Calibri"/>
    </font>
    <font>
      <b/>
      <color rgb="FF111827"/>
      <sz val="11"/>
      <name val="Calibri"/>
    </font>
    <font>
      <color rgb="FF6B7280"/>
      <sz val="10"/>
      <name val="Calibri"/>
    </font>
    <font>
      <b/>
      <color rgb="FFFFFFFF"/>
      <sz val="16"/>
      <name val="Calibri"/>
    </font>
    <font>
      <i/>
      <color rgb="FF6B7280"/>
      <sz val="9"/>
      <name val="Calibri"/>
    </font>
    <font>
      <b/>
      <color rgb="FF1B2A4A"/>
      <sz val="12"/>
      <name val="Calibri"/>
    </font>
    <font>
      <b/>
      <color rgb="FF111827"/>
      <sz val="14"/>
      <name val="Calibri"/>
    </font>
    <font>
      <color rgb="FF6B7280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4" borderId="1" xfId="0" applyFont="1" applyFill="1" applyBorder="1"/>
    <xf numFmtId="164" fontId="5" fillId="4" borderId="1" xfId="0" applyNumberFormat="1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164" fontId="5" fillId="5" borderId="1" xfId="0" applyNumberFormat="1" applyFont="1" applyFill="1" applyBorder="1"/>
    <xf numFmtId="0" fontId="7" fillId="6" borderId="0" xfId="0" applyFont="1" applyFill="1"/>
    <xf numFmtId="0" fontId="8" fillId="0" borderId="0" xfId="0" applyFont="1" applyAlignment="1">
      <alignment vertical="top" wrapText="1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165" fontId="5" fillId="4" borderId="1" xfId="0" applyNumberFormat="1" applyFont="1" applyFill="1" applyBorder="1"/>
    <xf numFmtId="10" fontId="5" fillId="4" borderId="1" xfId="0" applyNumberFormat="1" applyFont="1" applyFill="1" applyBorder="1"/>
    <xf numFmtId="166" fontId="5" fillId="4" borderId="1" xfId="0" applyNumberFormat="1" applyFont="1" applyFill="1" applyBorder="1"/>
    <xf numFmtId="165" fontId="5" fillId="5" borderId="1" xfId="0" applyNumberFormat="1" applyFont="1" applyFill="1" applyBorder="1"/>
    <xf numFmtId="10" fontId="5" fillId="5" borderId="1" xfId="0" applyNumberFormat="1" applyFont="1" applyFill="1" applyBorder="1"/>
    <xf numFmtId="166" fontId="5" fillId="5" borderId="1" xfId="0" applyNumberFormat="1" applyFont="1" applyFill="1" applyBorder="1"/>
    <xf numFmtId="0" fontId="7" fillId="0" borderId="0" xfId="0" applyFont="1"/>
    <xf numFmtId="0" fontId="7" fillId="3" borderId="1" xfId="0" applyFont="1" applyFill="1" applyBorder="1"/>
    <xf numFmtId="165" fontId="7" fillId="3" borderId="1" xfId="0" applyNumberFormat="1" applyFont="1" applyFill="1" applyBorder="1"/>
    <xf numFmtId="10" fontId="7" fillId="3" borderId="1" xfId="0" applyNumberFormat="1" applyFont="1" applyFill="1" applyBorder="1"/>
    <xf numFmtId="166" fontId="7" fillId="3" borderId="1" xfId="0" applyNumberFormat="1" applyFont="1" applyFill="1" applyBorder="1"/>
    <xf numFmtId="3" fontId="5" fillId="5" borderId="1" xfId="0" applyNumberFormat="1" applyFont="1" applyFill="1" applyBorder="1"/>
    <xf numFmtId="3" fontId="5" fillId="4" borderId="1" xfId="0" applyNumberFormat="1" applyFont="1" applyFill="1" applyBorder="1"/>
    <xf numFmtId="0" fontId="11" fillId="3" borderId="0" xfId="0" applyFont="1" applyFill="1"/>
    <xf numFmtId="0" fontId="8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2:G26"/>
  <sheetFormatPr defaultRowHeight="15" outlineLevelRow="0" outlineLevelCol="0" x14ac:dyDescent="55"/>
  <cols>
    <col min="1" max="1" width="3" customWidth="1"/>
    <col min="2" max="2" width="28" customWidth="1"/>
    <col min="3" max="7" width="18" customWidth="1"/>
    <col min="8" max="8" width="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8" customHeight="1" spans="2:7" x14ac:dyDescent="0.25">
      <c r="B3" s="2" t="s">
        <v>1</v>
      </c>
      <c r="C3" s="2"/>
      <c r="D3" s="2"/>
      <c r="E3" s="2"/>
      <c r="F3" s="2"/>
      <c r="G3" s="2"/>
    </row>
    <row r="5" spans="2:7" x14ac:dyDescent="0.25">
      <c r="B5" s="3" t="s">
        <v>2</v>
      </c>
      <c r="C5" s="3"/>
      <c r="D5" s="3"/>
      <c r="E5" s="3"/>
      <c r="F5" s="3"/>
      <c r="G5" s="3"/>
    </row>
    <row r="6" spans="1:7" s="4" customForma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1:7" s="6" customFormat="1" x14ac:dyDescent="0.25">
      <c r="A7" s="7" t="s">
        <v>3</v>
      </c>
      <c r="B7" s="8" t="s">
        <v>10</v>
      </c>
      <c r="C7" s="7">
        <v>0</v>
      </c>
      <c r="D7" s="7">
        <v>0</v>
      </c>
      <c r="E7" s="7">
        <f>C7-D7</f>
      </c>
      <c r="F7" s="9">
        <f>IF(D7=0,0,(C7-D7)/D7)</f>
      </c>
      <c r="G7" s="7">
        <f>IF(F7&gt;=0.05,"🟢",IF(F7&gt;=-0.05,"🟡","🔴"))</f>
      </c>
    </row>
    <row r="8" spans="1:7" s="6" customFormat="1" x14ac:dyDescent="0.25">
      <c r="A8" s="10" t="s">
        <v>3</v>
      </c>
      <c r="B8" s="11" t="s">
        <v>11</v>
      </c>
      <c r="C8" s="10">
        <v>0</v>
      </c>
      <c r="D8" s="10">
        <v>0</v>
      </c>
      <c r="E8" s="10">
        <f>C8-D8</f>
      </c>
      <c r="F8" s="12">
        <f>IF(D8=0,0,(C8-D8)/D8)</f>
      </c>
      <c r="G8" s="10">
        <f>IF(F8&gt;=0.05,"🟢",IF(F8&gt;=-0.05,"🟡","🔴"))</f>
      </c>
    </row>
    <row r="9" spans="1:7" s="6" customFormat="1" x14ac:dyDescent="0.25">
      <c r="A9" s="7" t="s">
        <v>3</v>
      </c>
      <c r="B9" s="8" t="s">
        <v>12</v>
      </c>
      <c r="C9" s="7">
        <v>0</v>
      </c>
      <c r="D9" s="7">
        <v>0</v>
      </c>
      <c r="E9" s="7">
        <f>C9-D9</f>
      </c>
      <c r="F9" s="9">
        <f>IF(D9=0,0,(C9-D9)/D9)</f>
      </c>
      <c r="G9" s="7">
        <f>IF(F9&gt;=0.05,"🟢",IF(F9&gt;=-0.05,"🟡","🔴"))</f>
      </c>
    </row>
    <row r="10" spans="1:7" s="6" customFormat="1" x14ac:dyDescent="0.25">
      <c r="A10" s="10" t="s">
        <v>3</v>
      </c>
      <c r="B10" s="11" t="s">
        <v>13</v>
      </c>
      <c r="C10" s="10">
        <v>0</v>
      </c>
      <c r="D10" s="10">
        <v>0</v>
      </c>
      <c r="E10" s="10">
        <f>C10-D10</f>
      </c>
      <c r="F10" s="12">
        <f>IF(D10=0,0,(C10-D10)/D10)</f>
      </c>
      <c r="G10" s="10">
        <f>IF(F10&gt;=0.05,"🟢",IF(F10&gt;=-0.05,"🟡","🔴"))</f>
      </c>
    </row>
    <row r="11" spans="1:7" s="6" customFormat="1" x14ac:dyDescent="0.25">
      <c r="A11" s="7" t="s">
        <v>3</v>
      </c>
      <c r="B11" s="8" t="s">
        <v>14</v>
      </c>
      <c r="C11" s="7">
        <v>0</v>
      </c>
      <c r="D11" s="7">
        <v>0</v>
      </c>
      <c r="E11" s="7">
        <f>C11-D11</f>
      </c>
      <c r="F11" s="9">
        <f>IF(D11=0,0,(C11-D11)/D11)</f>
      </c>
      <c r="G11" s="7">
        <f>IF(F11&gt;=0.05,"🟢",IF(F11&gt;=-0.05,"🟡","🔴"))</f>
      </c>
    </row>
    <row r="12" spans="1:7" s="6" customFormat="1" x14ac:dyDescent="0.25">
      <c r="A12" s="10" t="s">
        <v>3</v>
      </c>
      <c r="B12" s="11" t="s">
        <v>15</v>
      </c>
      <c r="C12" s="10">
        <v>0</v>
      </c>
      <c r="D12" s="10">
        <v>0</v>
      </c>
      <c r="E12" s="10">
        <f>C12-D12</f>
      </c>
      <c r="F12" s="12">
        <f>IF(D12=0,0,(C12-D12)/D12)</f>
      </c>
      <c r="G12" s="10">
        <f>IF(F12&gt;=0.05,"🟢",IF(F12&gt;=-0.05,"🟡","🔴"))</f>
      </c>
    </row>
    <row r="13" spans="1:7" s="6" customFormat="1" x14ac:dyDescent="0.25">
      <c r="A13" s="7" t="s">
        <v>3</v>
      </c>
      <c r="B13" s="8" t="s">
        <v>16</v>
      </c>
      <c r="C13" s="7">
        <v>0</v>
      </c>
      <c r="D13" s="7">
        <v>0</v>
      </c>
      <c r="E13" s="7">
        <f>C13-D13</f>
      </c>
      <c r="F13" s="9">
        <f>IF(D13=0,0,(C13-D13)/D13)</f>
      </c>
      <c r="G13" s="7">
        <f>IF(F13&gt;=0.05,"🟢",IF(F13&gt;=-0.05,"🟡","🔴"))</f>
      </c>
    </row>
    <row r="16" spans="2:7" x14ac:dyDescent="0.25">
      <c r="B16" s="3" t="s">
        <v>17</v>
      </c>
      <c r="C16" s="3"/>
      <c r="D16" s="3"/>
      <c r="E16" s="3"/>
      <c r="F16" s="3"/>
      <c r="G16" s="3"/>
    </row>
    <row r="17" ht="22" customHeight="1" spans="2:7" x14ac:dyDescent="0.25">
      <c r="B17" s="13" t="s">
        <v>18</v>
      </c>
      <c r="C17" s="13"/>
      <c r="D17" s="13"/>
      <c r="E17" s="13"/>
      <c r="F17" s="13"/>
      <c r="G17" s="13"/>
    </row>
    <row r="18" ht="50" customHeight="1" spans="2:7" x14ac:dyDescent="0.25">
      <c r="B18" s="14" t="s">
        <v>19</v>
      </c>
      <c r="C18" s="14"/>
      <c r="D18" s="14"/>
      <c r="E18" s="14"/>
      <c r="F18" s="14"/>
      <c r="G18" s="14"/>
    </row>
    <row r="19" ht="22" customHeight="1" spans="2:7" x14ac:dyDescent="0.25">
      <c r="B19" s="13" t="s">
        <v>20</v>
      </c>
      <c r="C19" s="13"/>
      <c r="D19" s="13"/>
      <c r="E19" s="13"/>
      <c r="F19" s="13"/>
      <c r="G19" s="13"/>
    </row>
    <row r="20" ht="50" customHeight="1" spans="2:7" x14ac:dyDescent="0.25">
      <c r="B20" s="14" t="s">
        <v>21</v>
      </c>
      <c r="C20" s="14"/>
      <c r="D20" s="14"/>
      <c r="E20" s="14"/>
      <c r="F20" s="14"/>
      <c r="G20" s="14"/>
    </row>
    <row r="21" ht="22" customHeight="1" spans="2:7" x14ac:dyDescent="0.25">
      <c r="B21" s="13" t="s">
        <v>22</v>
      </c>
      <c r="C21" s="13"/>
      <c r="D21" s="13"/>
      <c r="E21" s="13"/>
      <c r="F21" s="13"/>
      <c r="G21" s="13"/>
    </row>
    <row r="22" ht="50" customHeight="1" spans="2:7" x14ac:dyDescent="0.25">
      <c r="B22" s="14" t="s">
        <v>23</v>
      </c>
      <c r="C22" s="14"/>
      <c r="D22" s="14"/>
      <c r="E22" s="14"/>
      <c r="F22" s="14"/>
      <c r="G22" s="14"/>
    </row>
    <row r="23" ht="22" customHeight="1" spans="2:7" x14ac:dyDescent="0.25">
      <c r="B23" s="13" t="s">
        <v>24</v>
      </c>
      <c r="C23" s="13"/>
      <c r="D23" s="13"/>
      <c r="E23" s="13"/>
      <c r="F23" s="13"/>
      <c r="G23" s="13"/>
    </row>
    <row r="24" ht="50" customHeight="1" spans="2:7" x14ac:dyDescent="0.25">
      <c r="B24" s="14" t="s">
        <v>25</v>
      </c>
      <c r="C24" s="14"/>
      <c r="D24" s="14"/>
      <c r="E24" s="14"/>
      <c r="F24" s="14"/>
      <c r="G24" s="14"/>
    </row>
    <row r="25" ht="22" customHeight="1" spans="2:7" x14ac:dyDescent="0.25">
      <c r="B25" s="13" t="s">
        <v>26</v>
      </c>
      <c r="C25" s="13"/>
      <c r="D25" s="13"/>
      <c r="E25" s="13"/>
      <c r="F25" s="13"/>
      <c r="G25" s="13"/>
    </row>
    <row r="26" ht="50" customHeight="1" spans="2:7" x14ac:dyDescent="0.25">
      <c r="B26" s="14" t="s">
        <v>27</v>
      </c>
      <c r="C26" s="14"/>
      <c r="D26" s="14"/>
      <c r="E26" s="14"/>
      <c r="F26" s="14"/>
      <c r="G26" s="14"/>
    </row>
  </sheetData>
  <mergeCells count="14">
    <mergeCell ref="B2:G2"/>
    <mergeCell ref="B3:G3"/>
    <mergeCell ref="B5:G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2:K26"/>
  <sheetFormatPr defaultRowHeight="15" outlineLevelRow="0" outlineLevelCol="0" x14ac:dyDescent="55"/>
  <cols>
    <col min="1" max="1" width="3" customWidth="1"/>
    <col min="2" max="2" width="24" customWidth="1"/>
    <col min="3" max="4" width="14" customWidth="1"/>
    <col min="5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1" width="30" customWidth="1"/>
  </cols>
  <sheetData>
    <row r="2" ht="36" customHeight="1" spans="2:11" x14ac:dyDescent="0.25">
      <c r="B2" s="15" t="s">
        <v>28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x14ac:dyDescent="0.25">
      <c r="B3" s="16" t="s">
        <v>29</v>
      </c>
      <c r="C3" s="16"/>
      <c r="D3" s="16"/>
      <c r="E3" s="16"/>
      <c r="F3" s="16"/>
      <c r="G3" s="16"/>
      <c r="H3" s="16"/>
      <c r="I3" s="16"/>
      <c r="J3" s="16"/>
      <c r="K3" s="16"/>
    </row>
    <row r="5" ht="28" customHeight="1" spans="1:11" s="4" customFormat="1" x14ac:dyDescent="0.25">
      <c r="A5" s="5" t="s">
        <v>3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12</v>
      </c>
      <c r="K5" s="5" t="s">
        <v>38</v>
      </c>
    </row>
    <row r="6" spans="1:11" s="6" customFormat="1" x14ac:dyDescent="0.25">
      <c r="A6" s="7" t="s">
        <v>3</v>
      </c>
      <c r="B6" s="8" t="s">
        <v>39</v>
      </c>
      <c r="C6" s="17">
        <v>0</v>
      </c>
      <c r="D6" s="7">
        <v>0</v>
      </c>
      <c r="E6" s="7">
        <v>0</v>
      </c>
      <c r="F6" s="18">
        <f>IF(D6=0,0,E6/D6)</f>
      </c>
      <c r="G6" s="7">
        <v>0</v>
      </c>
      <c r="H6" s="18">
        <f>IF(E6=0,0,G6/E6)</f>
      </c>
      <c r="I6" s="17">
        <v>0</v>
      </c>
      <c r="J6" s="19">
        <f>IF(C6=0,0,I6/C6)</f>
      </c>
      <c r="K6" s="7" t="s">
        <v>3</v>
      </c>
    </row>
    <row r="7" spans="1:11" s="6" customFormat="1" x14ac:dyDescent="0.25">
      <c r="A7" s="10" t="s">
        <v>3</v>
      </c>
      <c r="B7" s="11" t="s">
        <v>40</v>
      </c>
      <c r="C7" s="20">
        <v>0</v>
      </c>
      <c r="D7" s="10">
        <v>0</v>
      </c>
      <c r="E7" s="10">
        <v>0</v>
      </c>
      <c r="F7" s="21">
        <f>IF(D7=0,0,E7/D7)</f>
      </c>
      <c r="G7" s="10">
        <v>0</v>
      </c>
      <c r="H7" s="21">
        <f>IF(E7=0,0,G7/E7)</f>
      </c>
      <c r="I7" s="20">
        <v>0</v>
      </c>
      <c r="J7" s="22">
        <f>IF(C7=0,0,I7/C7)</f>
      </c>
      <c r="K7" s="10" t="s">
        <v>3</v>
      </c>
    </row>
    <row r="8" spans="1:11" s="6" customFormat="1" x14ac:dyDescent="0.25">
      <c r="A8" s="7" t="s">
        <v>3</v>
      </c>
      <c r="B8" s="8" t="s">
        <v>41</v>
      </c>
      <c r="C8" s="17">
        <v>0</v>
      </c>
      <c r="D8" s="7">
        <v>0</v>
      </c>
      <c r="E8" s="7">
        <v>0</v>
      </c>
      <c r="F8" s="18">
        <f>IF(D8=0,0,E8/D8)</f>
      </c>
      <c r="G8" s="7">
        <v>0</v>
      </c>
      <c r="H8" s="18">
        <f>IF(E8=0,0,G8/E8)</f>
      </c>
      <c r="I8" s="17">
        <v>0</v>
      </c>
      <c r="J8" s="19">
        <f>IF(C8=0,0,I8/C8)</f>
      </c>
      <c r="K8" s="7" t="s">
        <v>3</v>
      </c>
    </row>
    <row r="9" spans="1:11" s="6" customFormat="1" x14ac:dyDescent="0.25">
      <c r="A9" s="10" t="s">
        <v>3</v>
      </c>
      <c r="B9" s="11" t="s">
        <v>42</v>
      </c>
      <c r="C9" s="20">
        <v>0</v>
      </c>
      <c r="D9" s="10">
        <v>0</v>
      </c>
      <c r="E9" s="10">
        <v>0</v>
      </c>
      <c r="F9" s="21">
        <f>IF(D9=0,0,E9/D9)</f>
      </c>
      <c r="G9" s="10">
        <v>0</v>
      </c>
      <c r="H9" s="21">
        <f>IF(E9=0,0,G9/E9)</f>
      </c>
      <c r="I9" s="20">
        <v>0</v>
      </c>
      <c r="J9" s="22">
        <f>IF(C9=0,0,I9/C9)</f>
      </c>
      <c r="K9" s="10" t="s">
        <v>3</v>
      </c>
    </row>
    <row r="10" spans="1:11" s="6" customFormat="1" x14ac:dyDescent="0.25">
      <c r="A10" s="7" t="s">
        <v>3</v>
      </c>
      <c r="B10" s="8" t="s">
        <v>43</v>
      </c>
      <c r="C10" s="17">
        <v>0</v>
      </c>
      <c r="D10" s="7">
        <v>0</v>
      </c>
      <c r="E10" s="7">
        <v>0</v>
      </c>
      <c r="F10" s="18">
        <f>IF(D10=0,0,E10/D10)</f>
      </c>
      <c r="G10" s="7">
        <v>0</v>
      </c>
      <c r="H10" s="18">
        <f>IF(E10=0,0,G10/E10)</f>
      </c>
      <c r="I10" s="17">
        <v>0</v>
      </c>
      <c r="J10" s="19">
        <f>IF(C10=0,0,I10/C10)</f>
      </c>
      <c r="K10" s="7" t="s">
        <v>3</v>
      </c>
    </row>
    <row r="11" spans="1:11" s="6" customFormat="1" x14ac:dyDescent="0.25">
      <c r="A11" s="10" t="s">
        <v>3</v>
      </c>
      <c r="B11" s="11" t="s">
        <v>44</v>
      </c>
      <c r="C11" s="20">
        <v>0</v>
      </c>
      <c r="D11" s="10">
        <v>0</v>
      </c>
      <c r="E11" s="10">
        <v>0</v>
      </c>
      <c r="F11" s="21">
        <f>IF(D11=0,0,E11/D11)</f>
      </c>
      <c r="G11" s="10">
        <v>0</v>
      </c>
      <c r="H11" s="21">
        <f>IF(E11=0,0,G11/E11)</f>
      </c>
      <c r="I11" s="20">
        <v>0</v>
      </c>
      <c r="J11" s="22">
        <f>IF(C11=0,0,I11/C11)</f>
      </c>
      <c r="K11" s="10" t="s">
        <v>3</v>
      </c>
    </row>
    <row r="12" spans="1:11" s="6" customFormat="1" x14ac:dyDescent="0.25">
      <c r="A12" s="7" t="s">
        <v>3</v>
      </c>
      <c r="B12" s="8" t="s">
        <v>45</v>
      </c>
      <c r="C12" s="17">
        <v>0</v>
      </c>
      <c r="D12" s="7">
        <v>0</v>
      </c>
      <c r="E12" s="7">
        <v>0</v>
      </c>
      <c r="F12" s="18">
        <f>IF(D12=0,0,E12/D12)</f>
      </c>
      <c r="G12" s="7">
        <v>0</v>
      </c>
      <c r="H12" s="18">
        <f>IF(E12=0,0,G12/E12)</f>
      </c>
      <c r="I12" s="17">
        <v>0</v>
      </c>
      <c r="J12" s="19">
        <f>IF(C12=0,0,I12/C12)</f>
      </c>
      <c r="K12" s="7" t="s">
        <v>3</v>
      </c>
    </row>
    <row r="13" spans="1:11" s="6" customFormat="1" x14ac:dyDescent="0.25">
      <c r="A13" s="10" t="s">
        <v>3</v>
      </c>
      <c r="B13" s="11" t="s">
        <v>46</v>
      </c>
      <c r="C13" s="20">
        <v>0</v>
      </c>
      <c r="D13" s="10">
        <v>0</v>
      </c>
      <c r="E13" s="10">
        <v>0</v>
      </c>
      <c r="F13" s="21">
        <f>IF(D13=0,0,E13/D13)</f>
      </c>
      <c r="G13" s="10">
        <v>0</v>
      </c>
      <c r="H13" s="21">
        <f>IF(E13=0,0,G13/E13)</f>
      </c>
      <c r="I13" s="20">
        <v>0</v>
      </c>
      <c r="J13" s="22">
        <f>IF(C13=0,0,I13/C13)</f>
      </c>
      <c r="K13" s="10" t="s">
        <v>3</v>
      </c>
    </row>
    <row r="14" spans="1:11" s="23" customFormat="1" x14ac:dyDescent="0.25">
      <c r="A14" s="24" t="s">
        <v>3</v>
      </c>
      <c r="B14" s="24" t="s">
        <v>47</v>
      </c>
      <c r="C14" s="25">
        <f>SUM(C6:C13)</f>
      </c>
      <c r="D14" s="24">
        <f>SUM(D6:D13)</f>
      </c>
      <c r="E14" s="24">
        <f>SUM(E6:E13)</f>
      </c>
      <c r="F14" s="26">
        <f>IF(D14=0,0,E14/D14)</f>
      </c>
      <c r="G14" s="24">
        <f>SUM(G6:G13)</f>
      </c>
      <c r="H14" s="26">
        <f>IF(E14=0,0,G14/E14)</f>
      </c>
      <c r="I14" s="25">
        <f>SUM(I6:I13)</f>
      </c>
      <c r="J14" s="27">
        <f>IF(C14=0,0,I14/C14)</f>
      </c>
      <c r="K14" s="24" t="s">
        <v>3</v>
      </c>
    </row>
    <row r="17" spans="2:11" x14ac:dyDescent="0.25">
      <c r="B17" s="3" t="s">
        <v>48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s="4" customFormat="1" x14ac:dyDescent="0.25">
      <c r="A18" s="5" t="s">
        <v>3</v>
      </c>
      <c r="B18" s="5" t="s">
        <v>30</v>
      </c>
      <c r="C18" s="5" t="s">
        <v>49</v>
      </c>
      <c r="D18" s="5" t="s">
        <v>50</v>
      </c>
      <c r="E18" s="5" t="s">
        <v>51</v>
      </c>
      <c r="F18" s="5" t="s">
        <v>52</v>
      </c>
      <c r="G18" s="5" t="s">
        <v>53</v>
      </c>
      <c r="H18" s="5" t="s">
        <v>54</v>
      </c>
      <c r="I18" s="5" t="s">
        <v>3</v>
      </c>
      <c r="J18" s="5" t="s">
        <v>3</v>
      </c>
      <c r="K18" s="5" t="s">
        <v>3</v>
      </c>
    </row>
    <row r="19" spans="1:11" s="6" customFormat="1" x14ac:dyDescent="0.25">
      <c r="A19" s="7" t="s">
        <v>3</v>
      </c>
      <c r="B19" s="8" t="s">
        <v>39</v>
      </c>
      <c r="C19" s="9">
        <f>IF(C14=0,0,C6/C14)</f>
      </c>
      <c r="D19" s="17">
        <f>IF(G6=0,0,C6/G6)</f>
      </c>
      <c r="E19" s="9">
        <f>IF(G14=0,0,G6/G14)</f>
      </c>
      <c r="F19" s="17">
        <f>IF(E6=0,0,C6/E6)</f>
      </c>
      <c r="G19" s="9">
        <f>IF(I14=0,0,I6/I14)</f>
      </c>
      <c r="H19" s="7">
        <f>IF(J14=0,"—",IF(C6=0,"—",TEXT(I6/C6/IF(I14/C14=0,1,I14/C14)*100,"0")&amp;"%"))</f>
      </c>
      <c r="I19" s="7" t="s">
        <v>3</v>
      </c>
      <c r="J19" s="7" t="s">
        <v>3</v>
      </c>
      <c r="K19" s="7" t="s">
        <v>3</v>
      </c>
    </row>
    <row r="20" spans="1:11" s="6" customFormat="1" x14ac:dyDescent="0.25">
      <c r="A20" s="10" t="s">
        <v>3</v>
      </c>
      <c r="B20" s="11" t="s">
        <v>40</v>
      </c>
      <c r="C20" s="12">
        <f>IF(C14=0,0,C7/C14)</f>
      </c>
      <c r="D20" s="20">
        <f>IF(G7=0,0,C7/G7)</f>
      </c>
      <c r="E20" s="12">
        <f>IF(G14=0,0,G7/G14)</f>
      </c>
      <c r="F20" s="20">
        <f>IF(E7=0,0,C7/E7)</f>
      </c>
      <c r="G20" s="12">
        <f>IF(I14=0,0,I7/I14)</f>
      </c>
      <c r="H20" s="10">
        <f>IF(J14=0,"—",IF(C7=0,"—",TEXT(I7/C7/IF(I14/C14=0,1,I14/C14)*100,"0")&amp;"%"))</f>
      </c>
      <c r="I20" s="10" t="s">
        <v>3</v>
      </c>
      <c r="J20" s="10" t="s">
        <v>3</v>
      </c>
      <c r="K20" s="10" t="s">
        <v>3</v>
      </c>
    </row>
    <row r="21" spans="1:11" s="6" customFormat="1" x14ac:dyDescent="0.25">
      <c r="A21" s="7" t="s">
        <v>3</v>
      </c>
      <c r="B21" s="8" t="s">
        <v>41</v>
      </c>
      <c r="C21" s="9">
        <f>IF(C14=0,0,C8/C14)</f>
      </c>
      <c r="D21" s="17">
        <f>IF(G8=0,0,C8/G8)</f>
      </c>
      <c r="E21" s="9">
        <f>IF(G14=0,0,G8/G14)</f>
      </c>
      <c r="F21" s="17">
        <f>IF(E8=0,0,C8/E8)</f>
      </c>
      <c r="G21" s="9">
        <f>IF(I14=0,0,I8/I14)</f>
      </c>
      <c r="H21" s="7">
        <f>IF(J14=0,"—",IF(C8=0,"—",TEXT(I8/C8/IF(I14/C14=0,1,I14/C14)*100,"0")&amp;"%"))</f>
      </c>
      <c r="I21" s="7" t="s">
        <v>3</v>
      </c>
      <c r="J21" s="7" t="s">
        <v>3</v>
      </c>
      <c r="K21" s="7" t="s">
        <v>3</v>
      </c>
    </row>
    <row r="22" spans="1:11" s="6" customFormat="1" x14ac:dyDescent="0.25">
      <c r="A22" s="10" t="s">
        <v>3</v>
      </c>
      <c r="B22" s="11" t="s">
        <v>42</v>
      </c>
      <c r="C22" s="12">
        <f>IF(C14=0,0,C9/C14)</f>
      </c>
      <c r="D22" s="20">
        <f>IF(G9=0,0,C9/G9)</f>
      </c>
      <c r="E22" s="12">
        <f>IF(G14=0,0,G9/G14)</f>
      </c>
      <c r="F22" s="20">
        <f>IF(E9=0,0,C9/E9)</f>
      </c>
      <c r="G22" s="12">
        <f>IF(I14=0,0,I9/I14)</f>
      </c>
      <c r="H22" s="10">
        <f>IF(J14=0,"—",IF(C9=0,"—",TEXT(I9/C9/IF(I14/C14=0,1,I14/C14)*100,"0")&amp;"%"))</f>
      </c>
      <c r="I22" s="10" t="s">
        <v>3</v>
      </c>
      <c r="J22" s="10" t="s">
        <v>3</v>
      </c>
      <c r="K22" s="10" t="s">
        <v>3</v>
      </c>
    </row>
    <row r="23" spans="1:11" s="6" customFormat="1" x14ac:dyDescent="0.25">
      <c r="A23" s="7" t="s">
        <v>3</v>
      </c>
      <c r="B23" s="8" t="s">
        <v>43</v>
      </c>
      <c r="C23" s="9">
        <f>IF(C14=0,0,C10/C14)</f>
      </c>
      <c r="D23" s="17">
        <f>IF(G10=0,0,C10/G10)</f>
      </c>
      <c r="E23" s="9">
        <f>IF(G14=0,0,G10/G14)</f>
      </c>
      <c r="F23" s="17">
        <f>IF(E10=0,0,C10/E10)</f>
      </c>
      <c r="G23" s="9">
        <f>IF(I14=0,0,I10/I14)</f>
      </c>
      <c r="H23" s="7">
        <f>IF(J14=0,"—",IF(C10=0,"—",TEXT(I10/C10/IF(I14/C14=0,1,I14/C14)*100,"0")&amp;"%"))</f>
      </c>
      <c r="I23" s="7" t="s">
        <v>3</v>
      </c>
      <c r="J23" s="7" t="s">
        <v>3</v>
      </c>
      <c r="K23" s="7" t="s">
        <v>3</v>
      </c>
    </row>
    <row r="24" spans="1:11" s="6" customFormat="1" x14ac:dyDescent="0.25">
      <c r="A24" s="10" t="s">
        <v>3</v>
      </c>
      <c r="B24" s="11" t="s">
        <v>44</v>
      </c>
      <c r="C24" s="12">
        <f>IF(C14=0,0,C11/C14)</f>
      </c>
      <c r="D24" s="20">
        <f>IF(G11=0,0,C11/G11)</f>
      </c>
      <c r="E24" s="12">
        <f>IF(G14=0,0,G11/G14)</f>
      </c>
      <c r="F24" s="20">
        <f>IF(E11=0,0,C11/E11)</f>
      </c>
      <c r="G24" s="12">
        <f>IF(I14=0,0,I11/I14)</f>
      </c>
      <c r="H24" s="10">
        <f>IF(J14=0,"—",IF(C11=0,"—",TEXT(I11/C11/IF(I14/C14=0,1,I14/C14)*100,"0")&amp;"%"))</f>
      </c>
      <c r="I24" s="10" t="s">
        <v>3</v>
      </c>
      <c r="J24" s="10" t="s">
        <v>3</v>
      </c>
      <c r="K24" s="10" t="s">
        <v>3</v>
      </c>
    </row>
    <row r="25" spans="1:11" s="6" customFormat="1" x14ac:dyDescent="0.25">
      <c r="A25" s="7" t="s">
        <v>3</v>
      </c>
      <c r="B25" s="8" t="s">
        <v>45</v>
      </c>
      <c r="C25" s="9">
        <f>IF(C14=0,0,C12/C14)</f>
      </c>
      <c r="D25" s="17">
        <f>IF(G12=0,0,C12/G12)</f>
      </c>
      <c r="E25" s="9">
        <f>IF(G14=0,0,G12/G14)</f>
      </c>
      <c r="F25" s="17">
        <f>IF(E12=0,0,C12/E12)</f>
      </c>
      <c r="G25" s="9">
        <f>IF(I14=0,0,I12/I14)</f>
      </c>
      <c r="H25" s="7">
        <f>IF(J14=0,"—",IF(C12=0,"—",TEXT(I12/C12/IF(I14/C14=0,1,I14/C14)*100,"0")&amp;"%"))</f>
      </c>
      <c r="I25" s="7" t="s">
        <v>3</v>
      </c>
      <c r="J25" s="7" t="s">
        <v>3</v>
      </c>
      <c r="K25" s="7" t="s">
        <v>3</v>
      </c>
    </row>
    <row r="26" spans="1:11" s="6" customFormat="1" x14ac:dyDescent="0.25">
      <c r="A26" s="10" t="s">
        <v>3</v>
      </c>
      <c r="B26" s="11" t="s">
        <v>46</v>
      </c>
      <c r="C26" s="12">
        <f>IF(C14=0,0,C13/C14)</f>
      </c>
      <c r="D26" s="20">
        <f>IF(G13=0,0,C13/G13)</f>
      </c>
      <c r="E26" s="12">
        <f>IF(G14=0,0,G13/G14)</f>
      </c>
      <c r="F26" s="20">
        <f>IF(E13=0,0,C13/E13)</f>
      </c>
      <c r="G26" s="12">
        <f>IF(I14=0,0,I13/I14)</f>
      </c>
      <c r="H26" s="10">
        <f>IF(J14=0,"—",IF(C13=0,"—",TEXT(I13/C13/IF(I14/C14=0,1,I14/C14)*100,"0")&amp;"%"))</f>
      </c>
      <c r="I26" s="10" t="s">
        <v>3</v>
      </c>
      <c r="J26" s="10" t="s">
        <v>3</v>
      </c>
      <c r="K26" s="10" t="s">
        <v>3</v>
      </c>
    </row>
  </sheetData>
  <mergeCells count="3">
    <mergeCell ref="B2:K2"/>
    <mergeCell ref="B3:K3"/>
    <mergeCell ref="B17:K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2:H21"/>
  <sheetFormatPr defaultRowHeight="15" outlineLevelRow="0" outlineLevelCol="0" x14ac:dyDescent="55"/>
  <cols>
    <col min="1" max="1" width="3" customWidth="1"/>
    <col min="2" max="2" width="26" customWidth="1"/>
    <col min="3" max="5" width="16" customWidth="1"/>
    <col min="6" max="7" width="14" customWidth="1"/>
    <col min="8" max="8" width="22" customWidth="1"/>
    <col min="9" max="9" width="5" customWidth="1"/>
  </cols>
  <sheetData>
    <row r="2" ht="36" customHeight="1" spans="2:8" x14ac:dyDescent="0.25">
      <c r="B2" s="15" t="s">
        <v>55</v>
      </c>
      <c r="C2" s="15"/>
      <c r="D2" s="15"/>
      <c r="E2" s="15"/>
      <c r="F2" s="15"/>
      <c r="G2" s="15"/>
      <c r="H2" s="15"/>
    </row>
    <row r="3" spans="2:8" x14ac:dyDescent="0.25">
      <c r="B3" s="16" t="s">
        <v>56</v>
      </c>
      <c r="C3" s="16"/>
      <c r="D3" s="16"/>
      <c r="E3" s="16"/>
      <c r="F3" s="16"/>
      <c r="G3" s="16"/>
      <c r="H3" s="16"/>
    </row>
    <row r="5" ht="28" customHeight="1" spans="1:8" s="4" customFormat="1" x14ac:dyDescent="0.25">
      <c r="A5" s="5" t="s">
        <v>3</v>
      </c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9</v>
      </c>
      <c r="H5" s="5" t="s">
        <v>62</v>
      </c>
    </row>
    <row r="6" spans="1:8" s="6" customFormat="1" x14ac:dyDescent="0.25">
      <c r="A6" s="7" t="s">
        <v>3</v>
      </c>
      <c r="B6" s="8" t="s">
        <v>63</v>
      </c>
      <c r="C6" s="17">
        <v>0</v>
      </c>
      <c r="D6" s="17">
        <v>0</v>
      </c>
      <c r="E6" s="17">
        <f>D6-C6</f>
      </c>
      <c r="F6" s="9">
        <f>IF(C6=0,0,D6/C6)</f>
      </c>
      <c r="G6" s="7">
        <f>IF(F6&gt;=1,"🟢",IF(F6&gt;=0.8,"🟡","🔴"))</f>
      </c>
      <c r="H6" s="7" t="s">
        <v>3</v>
      </c>
    </row>
    <row r="7" spans="1:8" s="6" customFormat="1" x14ac:dyDescent="0.25">
      <c r="A7" s="10" t="s">
        <v>3</v>
      </c>
      <c r="B7" s="11" t="s">
        <v>11</v>
      </c>
      <c r="C7" s="20">
        <v>0</v>
      </c>
      <c r="D7" s="20">
        <v>0</v>
      </c>
      <c r="E7" s="20">
        <f>D7-C7</f>
      </c>
      <c r="F7" s="12">
        <f>IF(C7=0,0,D7/C7)</f>
      </c>
      <c r="G7" s="10">
        <f>IF(F7&gt;=1,"🟢",IF(F7&gt;=0.8,"🟡","🔴"))</f>
      </c>
      <c r="H7" s="10" t="s">
        <v>3</v>
      </c>
    </row>
    <row r="8" spans="1:8" s="6" customFormat="1" x14ac:dyDescent="0.25">
      <c r="A8" s="7" t="s">
        <v>3</v>
      </c>
      <c r="B8" s="8" t="s">
        <v>64</v>
      </c>
      <c r="C8" s="19">
        <v>0</v>
      </c>
      <c r="D8" s="19">
        <v>0</v>
      </c>
      <c r="E8" s="19">
        <f>D8-C8</f>
      </c>
      <c r="F8" s="9">
        <f>IF(C8=0,0,D8/C8)</f>
      </c>
      <c r="G8" s="7">
        <f>IF(F8&gt;=1,"🟢",IF(F8&gt;=0.8,"🟡","🔴"))</f>
      </c>
      <c r="H8" s="7" t="s">
        <v>3</v>
      </c>
    </row>
    <row r="9" spans="1:8" s="6" customFormat="1" x14ac:dyDescent="0.25">
      <c r="A9" s="10" t="s">
        <v>3</v>
      </c>
      <c r="B9" s="11" t="s">
        <v>13</v>
      </c>
      <c r="C9" s="28">
        <v>0</v>
      </c>
      <c r="D9" s="28">
        <v>0</v>
      </c>
      <c r="E9" s="28">
        <f>D9-C9</f>
      </c>
      <c r="F9" s="12">
        <f>IF(C9=0,0,D9/C9)</f>
      </c>
      <c r="G9" s="10">
        <f>IF(F9&gt;=1,"🟢",IF(F9&gt;=0.8,"🟡","🔴"))</f>
      </c>
      <c r="H9" s="10" t="s">
        <v>3</v>
      </c>
    </row>
    <row r="10" spans="1:8" s="6" customFormat="1" x14ac:dyDescent="0.25">
      <c r="A10" s="7" t="s">
        <v>3</v>
      </c>
      <c r="B10" s="8" t="s">
        <v>65</v>
      </c>
      <c r="C10" s="17">
        <v>0</v>
      </c>
      <c r="D10" s="17">
        <v>0</v>
      </c>
      <c r="E10" s="17">
        <f>D10-C10</f>
      </c>
      <c r="F10" s="9">
        <f>IF(C10=0,0,D10/C10)</f>
      </c>
      <c r="G10" s="7">
        <f>IF(F10&gt;=1,"🟢",IF(F10&gt;=0.8,"🟡","🔴"))</f>
      </c>
      <c r="H10" s="7" t="s">
        <v>3</v>
      </c>
    </row>
    <row r="11" spans="1:8" s="6" customFormat="1" x14ac:dyDescent="0.25">
      <c r="A11" s="10" t="s">
        <v>3</v>
      </c>
      <c r="B11" s="11" t="s">
        <v>15</v>
      </c>
      <c r="C11" s="28">
        <v>0</v>
      </c>
      <c r="D11" s="28">
        <v>0</v>
      </c>
      <c r="E11" s="28">
        <f>D11-C11</f>
      </c>
      <c r="F11" s="12">
        <f>IF(C11=0,0,D11/C11)</f>
      </c>
      <c r="G11" s="10">
        <f>IF(F11&gt;=1,"🟢",IF(F11&gt;=0.8,"🟡","🔴"))</f>
      </c>
      <c r="H11" s="10" t="s">
        <v>3</v>
      </c>
    </row>
    <row r="12" spans="1:8" s="6" customFormat="1" x14ac:dyDescent="0.25">
      <c r="A12" s="7" t="s">
        <v>3</v>
      </c>
      <c r="B12" s="8" t="s">
        <v>16</v>
      </c>
      <c r="C12" s="18">
        <v>0</v>
      </c>
      <c r="D12" s="18">
        <v>0</v>
      </c>
      <c r="E12" s="18">
        <f>D12-C12</f>
      </c>
      <c r="F12" s="9">
        <f>IF(C12=0,0,D12/C12)</f>
      </c>
      <c r="G12" s="7">
        <f>IF(F12&gt;=1,"🟢",IF(F12&gt;=0.8,"🟡","🔴"))</f>
      </c>
      <c r="H12" s="7" t="s">
        <v>3</v>
      </c>
    </row>
    <row r="13" spans="1:8" s="6" customFormat="1" x14ac:dyDescent="0.25">
      <c r="A13" s="10" t="s">
        <v>3</v>
      </c>
      <c r="B13" s="11" t="s">
        <v>66</v>
      </c>
      <c r="C13" s="28">
        <v>0</v>
      </c>
      <c r="D13" s="28">
        <v>0</v>
      </c>
      <c r="E13" s="28">
        <f>D13-C13</f>
      </c>
      <c r="F13" s="12">
        <f>IF(C13=0,0,D13/C13)</f>
      </c>
      <c r="G13" s="10">
        <f>IF(F13&gt;=1,"🟢",IF(F13&gt;=0.8,"🟡","🔴"))</f>
      </c>
      <c r="H13" s="10" t="s">
        <v>3</v>
      </c>
    </row>
    <row r="14" spans="1:8" s="6" customFormat="1" x14ac:dyDescent="0.25">
      <c r="A14" s="7" t="s">
        <v>3</v>
      </c>
      <c r="B14" s="8" t="s">
        <v>67</v>
      </c>
      <c r="C14" s="17">
        <v>0</v>
      </c>
      <c r="D14" s="17">
        <v>0</v>
      </c>
      <c r="E14" s="17">
        <f>D14-C14</f>
      </c>
      <c r="F14" s="9">
        <f>IF(C14=0,0,D14/C14)</f>
      </c>
      <c r="G14" s="7">
        <f>IF(F14&gt;=1,"🟢",IF(F14&gt;=0.8,"🟡","🔴"))</f>
      </c>
      <c r="H14" s="7" t="s">
        <v>3</v>
      </c>
    </row>
    <row r="15" spans="1:8" s="6" customFormat="1" x14ac:dyDescent="0.25">
      <c r="A15" s="10" t="s">
        <v>3</v>
      </c>
      <c r="B15" s="11" t="s">
        <v>68</v>
      </c>
      <c r="C15" s="20">
        <v>0</v>
      </c>
      <c r="D15" s="20">
        <v>0</v>
      </c>
      <c r="E15" s="20">
        <f>D15-C15</f>
      </c>
      <c r="F15" s="12">
        <f>IF(C15=0,0,D15/C15)</f>
      </c>
      <c r="G15" s="10">
        <f>IF(F15&gt;=1,"🟢",IF(F15&gt;=0.8,"🟡","🔴"))</f>
      </c>
      <c r="H15" s="10" t="s">
        <v>3</v>
      </c>
    </row>
    <row r="16" spans="1:8" s="6" customFormat="1" x14ac:dyDescent="0.25">
      <c r="A16" s="7" t="s">
        <v>3</v>
      </c>
      <c r="B16" s="8" t="s">
        <v>69</v>
      </c>
      <c r="C16" s="29">
        <v>0</v>
      </c>
      <c r="D16" s="29">
        <v>0</v>
      </c>
      <c r="E16" s="29">
        <f>D16-C16</f>
      </c>
      <c r="F16" s="9">
        <f>IF(C16=0,0,D16/C16)</f>
      </c>
      <c r="G16" s="7">
        <f>IF(F16&gt;=1,"🟢",IF(F16&gt;=0.8,"🟡","🔴"))</f>
      </c>
      <c r="H16" s="7" t="s">
        <v>3</v>
      </c>
    </row>
    <row r="17" spans="1:8" s="6" customFormat="1" x14ac:dyDescent="0.25">
      <c r="A17" s="10" t="s">
        <v>3</v>
      </c>
      <c r="B17" s="11" t="s">
        <v>70</v>
      </c>
      <c r="C17" s="28">
        <v>0</v>
      </c>
      <c r="D17" s="28">
        <v>0</v>
      </c>
      <c r="E17" s="28">
        <f>D17-C17</f>
      </c>
      <c r="F17" s="12">
        <f>IF(C17=0,0,D17/C17)</f>
      </c>
      <c r="G17" s="10">
        <f>IF(F17&gt;=1,"🟢",IF(F17&gt;=0.8,"🟡","🔴"))</f>
      </c>
      <c r="H17" s="10" t="s">
        <v>3</v>
      </c>
    </row>
    <row r="20" spans="2:8" x14ac:dyDescent="0.25">
      <c r="B20" s="30" t="s">
        <v>71</v>
      </c>
      <c r="C20" s="30"/>
      <c r="D20" s="30"/>
      <c r="E20" s="30"/>
      <c r="F20" s="30"/>
      <c r="G20" s="30"/>
      <c r="H20" s="30"/>
    </row>
    <row r="21" ht="40" customHeight="1" spans="2:8" x14ac:dyDescent="0.25">
      <c r="B21" s="31" t="s">
        <v>72</v>
      </c>
      <c r="C21" s="31"/>
      <c r="D21" s="31"/>
      <c r="E21" s="31"/>
      <c r="F21" s="31"/>
      <c r="G21" s="31"/>
      <c r="H21" s="31"/>
    </row>
  </sheetData>
  <mergeCells count="4">
    <mergeCell ref="B2:H2"/>
    <mergeCell ref="B3:H3"/>
    <mergeCell ref="B20:H20"/>
    <mergeCell ref="B21:H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2:Q36"/>
  <sheetFormatPr defaultRowHeight="15" outlineLevelRow="0" outlineLevelCol="0" x14ac:dyDescent="55"/>
  <cols>
    <col min="1" max="1" width="3" customWidth="1"/>
    <col min="2" max="2" width="24" customWidth="1"/>
    <col min="3" max="16" width="12" customWidth="1"/>
  </cols>
  <sheetData>
    <row r="2" ht="36" customHeight="1" spans="2:16" x14ac:dyDescent="0.25">
      <c r="B2" s="15" t="s">
        <v>73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 x14ac:dyDescent="0.25">
      <c r="B3" s="16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5" ht="28" customHeight="1" spans="1:16" s="4" customFormat="1" x14ac:dyDescent="0.25">
      <c r="A5" s="5" t="s">
        <v>3</v>
      </c>
      <c r="B5" s="5" t="s">
        <v>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80</v>
      </c>
      <c r="I5" s="5" t="s">
        <v>81</v>
      </c>
      <c r="J5" s="5" t="s">
        <v>82</v>
      </c>
      <c r="K5" s="5" t="s">
        <v>83</v>
      </c>
      <c r="L5" s="5" t="s">
        <v>84</v>
      </c>
      <c r="M5" s="5" t="s">
        <v>85</v>
      </c>
      <c r="N5" s="5" t="s">
        <v>86</v>
      </c>
      <c r="O5" s="5" t="s">
        <v>87</v>
      </c>
      <c r="P5" s="5" t="s">
        <v>88</v>
      </c>
    </row>
    <row r="6" spans="1:16" s="6" customFormat="1" x14ac:dyDescent="0.25">
      <c r="A6" s="7" t="s">
        <v>3</v>
      </c>
      <c r="B6" s="8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f>SUM(C6:N6)</f>
      </c>
      <c r="P6" s="7" t="s">
        <v>3</v>
      </c>
    </row>
    <row r="7" spans="1:16" s="6" customFormat="1" x14ac:dyDescent="0.25">
      <c r="A7" s="10" t="s">
        <v>3</v>
      </c>
      <c r="B7" s="11" t="s">
        <v>11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f>SUM(C7:N7)</f>
      </c>
      <c r="P7" s="10" t="s">
        <v>3</v>
      </c>
    </row>
    <row r="8" spans="1:16" s="6" customFormat="1" x14ac:dyDescent="0.25">
      <c r="A8" s="7" t="s">
        <v>3</v>
      </c>
      <c r="B8" s="8" t="s">
        <v>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f>AVERAGE(C8:N8)</f>
      </c>
      <c r="P8" s="7" t="s">
        <v>3</v>
      </c>
    </row>
    <row r="9" spans="1:16" s="6" customFormat="1" x14ac:dyDescent="0.25">
      <c r="A9" s="10" t="s">
        <v>3</v>
      </c>
      <c r="B9" s="11" t="s">
        <v>35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f>SUM(C9:N9)</f>
      </c>
      <c r="P9" s="10" t="s">
        <v>3</v>
      </c>
    </row>
    <row r="10" spans="1:16" s="6" customFormat="1" x14ac:dyDescent="0.25">
      <c r="A10" s="7" t="s">
        <v>3</v>
      </c>
      <c r="B10" s="8" t="s">
        <v>50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f>AVERAGE(C10:N10)</f>
      </c>
      <c r="P10" s="7" t="s">
        <v>3</v>
      </c>
    </row>
    <row r="11" spans="1:16" s="6" customFormat="1" x14ac:dyDescent="0.25">
      <c r="A11" s="10" t="s">
        <v>3</v>
      </c>
      <c r="B11" s="11" t="s">
        <v>15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f>SUM(C11:N11)</f>
      </c>
      <c r="P11" s="10" t="s">
        <v>3</v>
      </c>
    </row>
    <row r="12" spans="1:16" s="6" customFormat="1" x14ac:dyDescent="0.25">
      <c r="A12" s="7" t="s">
        <v>3</v>
      </c>
      <c r="B12" s="8" t="s">
        <v>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f>AVERAGE(C12:N12)</f>
      </c>
      <c r="P12" s="7" t="s">
        <v>3</v>
      </c>
    </row>
    <row r="13" spans="1:16" s="6" customFormat="1" x14ac:dyDescent="0.25">
      <c r="A13" s="10" t="s">
        <v>3</v>
      </c>
      <c r="B13" s="11" t="s">
        <v>89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f>SUM(C13:N13)</f>
      </c>
      <c r="P13" s="10" t="s">
        <v>3</v>
      </c>
    </row>
    <row r="14" spans="1:16" s="6" customFormat="1" x14ac:dyDescent="0.25">
      <c r="A14" s="7" t="s">
        <v>3</v>
      </c>
      <c r="B14" s="8" t="s">
        <v>90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f>SUM(C14:N14)</f>
      </c>
      <c r="P14" s="7" t="s">
        <v>3</v>
      </c>
    </row>
    <row r="17" spans="2:16" x14ac:dyDescent="0.25">
      <c r="B17" s="30" t="s">
        <v>91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s="4" customFormat="1" x14ac:dyDescent="0.25">
      <c r="A18" s="5" t="s">
        <v>3</v>
      </c>
      <c r="B18" s="5" t="s">
        <v>4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79</v>
      </c>
      <c r="H18" s="5" t="s">
        <v>80</v>
      </c>
      <c r="I18" s="5" t="s">
        <v>81</v>
      </c>
      <c r="J18" s="5" t="s">
        <v>82</v>
      </c>
      <c r="K18" s="5" t="s">
        <v>83</v>
      </c>
      <c r="L18" s="5" t="s">
        <v>84</v>
      </c>
      <c r="M18" s="5" t="s">
        <v>85</v>
      </c>
      <c r="N18" s="5" t="s">
        <v>86</v>
      </c>
      <c r="O18" s="5" t="s">
        <v>87</v>
      </c>
      <c r="P18" s="5" t="s">
        <v>88</v>
      </c>
    </row>
    <row r="19" spans="1:17" s="6" customFormat="1" x14ac:dyDescent="0.25">
      <c r="A19" s="7" t="s">
        <v>3</v>
      </c>
      <c r="B19" s="8" t="s">
        <v>10</v>
      </c>
      <c r="C19" s="7" t="s">
        <v>3</v>
      </c>
      <c r="D19" s="9">
        <f>IF(C6=0,0,(D6-C6)/C6)</f>
      </c>
      <c r="E19" s="9">
        <f>IF(D6=0,0,(E6-D6)/D6)</f>
      </c>
      <c r="F19" s="9">
        <f>IF(E6=0,0,(F6-E6)/E6)</f>
      </c>
      <c r="G19" s="9">
        <f>IF(F6=0,0,(G6-F6)/F6)</f>
      </c>
      <c r="H19" s="9">
        <f>IF(G6=0,0,(H6-G6)/G6)</f>
      </c>
      <c r="I19" s="9">
        <f>IF(H6=0,0,(I6-H6)/H6)</f>
      </c>
      <c r="J19" s="9">
        <f>IF(I6=0,0,(J6-I6)/I6)</f>
      </c>
      <c r="K19" s="9">
        <f>IF(J6=0,0,(K6-J6)/J6)</f>
      </c>
      <c r="L19" s="9">
        <f>IF(K6=0,0,(L6-K6)/K6)</f>
      </c>
      <c r="M19" s="9">
        <f>IF(L6=0,0,(M6-L6)/L6)</f>
      </c>
      <c r="N19" s="9">
        <f>IF(M6=0,0,(N6-M6)/M6)</f>
      </c>
      <c r="O19" s="7" t="s">
        <v>3</v>
      </c>
      <c r="P19" s="7" t="s">
        <v>3</v>
      </c>
      <c r="Q19" s="7" t="s">
        <v>3</v>
      </c>
    </row>
    <row r="20" spans="1:17" s="6" customFormat="1" x14ac:dyDescent="0.25">
      <c r="A20" s="10" t="s">
        <v>3</v>
      </c>
      <c r="B20" s="11" t="s">
        <v>11</v>
      </c>
      <c r="C20" s="10" t="s">
        <v>3</v>
      </c>
      <c r="D20" s="12">
        <f>IF(C7=0,0,(D7-C7)/C7)</f>
      </c>
      <c r="E20" s="12">
        <f>IF(D7=0,0,(E7-D7)/D7)</f>
      </c>
      <c r="F20" s="12">
        <f>IF(E7=0,0,(F7-E7)/E7)</f>
      </c>
      <c r="G20" s="12">
        <f>IF(F7=0,0,(G7-F7)/F7)</f>
      </c>
      <c r="H20" s="12">
        <f>IF(G7=0,0,(H7-G7)/G7)</f>
      </c>
      <c r="I20" s="12">
        <f>IF(H7=0,0,(I7-H7)/H7)</f>
      </c>
      <c r="J20" s="12">
        <f>IF(I7=0,0,(J7-I7)/I7)</f>
      </c>
      <c r="K20" s="12">
        <f>IF(J7=0,0,(K7-J7)/J7)</f>
      </c>
      <c r="L20" s="12">
        <f>IF(K7=0,0,(L7-K7)/K7)</f>
      </c>
      <c r="M20" s="12">
        <f>IF(L7=0,0,(M7-L7)/L7)</f>
      </c>
      <c r="N20" s="12">
        <f>IF(M7=0,0,(N7-M7)/M7)</f>
      </c>
      <c r="O20" s="10" t="s">
        <v>3</v>
      </c>
      <c r="P20" s="10" t="s">
        <v>3</v>
      </c>
      <c r="Q20" s="10" t="s">
        <v>3</v>
      </c>
    </row>
    <row r="21" spans="1:17" s="6" customFormat="1" x14ac:dyDescent="0.25">
      <c r="A21" s="7" t="s">
        <v>3</v>
      </c>
      <c r="B21" s="8" t="s">
        <v>12</v>
      </c>
      <c r="C21" s="7" t="s">
        <v>3</v>
      </c>
      <c r="D21" s="9">
        <f>IF(C8=0,0,(D8-C8)/C8)</f>
      </c>
      <c r="E21" s="9">
        <f>IF(D8=0,0,(E8-D8)/D8)</f>
      </c>
      <c r="F21" s="9">
        <f>IF(E8=0,0,(F8-E8)/E8)</f>
      </c>
      <c r="G21" s="9">
        <f>IF(F8=0,0,(G8-F8)/F8)</f>
      </c>
      <c r="H21" s="9">
        <f>IF(G8=0,0,(H8-G8)/G8)</f>
      </c>
      <c r="I21" s="9">
        <f>IF(H8=0,0,(I8-H8)/H8)</f>
      </c>
      <c r="J21" s="9">
        <f>IF(I8=0,0,(J8-I8)/I8)</f>
      </c>
      <c r="K21" s="9">
        <f>IF(J8=0,0,(K8-J8)/J8)</f>
      </c>
      <c r="L21" s="9">
        <f>IF(K8=0,0,(L8-K8)/K8)</f>
      </c>
      <c r="M21" s="9">
        <f>IF(L8=0,0,(M8-L8)/L8)</f>
      </c>
      <c r="N21" s="9">
        <f>IF(M8=0,0,(N8-M8)/M8)</f>
      </c>
      <c r="O21" s="7" t="s">
        <v>3</v>
      </c>
      <c r="P21" s="7" t="s">
        <v>3</v>
      </c>
      <c r="Q21" s="7" t="s">
        <v>3</v>
      </c>
    </row>
    <row r="22" spans="1:17" s="6" customFormat="1" x14ac:dyDescent="0.25">
      <c r="A22" s="10" t="s">
        <v>3</v>
      </c>
      <c r="B22" s="11" t="s">
        <v>35</v>
      </c>
      <c r="C22" s="10" t="s">
        <v>3</v>
      </c>
      <c r="D22" s="12">
        <f>IF(C9=0,0,(D9-C9)/C9)</f>
      </c>
      <c r="E22" s="12">
        <f>IF(D9=0,0,(E9-D9)/D9)</f>
      </c>
      <c r="F22" s="12">
        <f>IF(E9=0,0,(F9-E9)/E9)</f>
      </c>
      <c r="G22" s="12">
        <f>IF(F9=0,0,(G9-F9)/F9)</f>
      </c>
      <c r="H22" s="12">
        <f>IF(G9=0,0,(H9-G9)/G9)</f>
      </c>
      <c r="I22" s="12">
        <f>IF(H9=0,0,(I9-H9)/H9)</f>
      </c>
      <c r="J22" s="12">
        <f>IF(I9=0,0,(J9-I9)/I9)</f>
      </c>
      <c r="K22" s="12">
        <f>IF(J9=0,0,(K9-J9)/J9)</f>
      </c>
      <c r="L22" s="12">
        <f>IF(K9=0,0,(L9-K9)/K9)</f>
      </c>
      <c r="M22" s="12">
        <f>IF(L9=0,0,(M9-L9)/L9)</f>
      </c>
      <c r="N22" s="12">
        <f>IF(M9=0,0,(N9-M9)/M9)</f>
      </c>
      <c r="O22" s="10" t="s">
        <v>3</v>
      </c>
      <c r="P22" s="10" t="s">
        <v>3</v>
      </c>
      <c r="Q22" s="10" t="s">
        <v>3</v>
      </c>
    </row>
    <row r="23" spans="1:17" s="6" customFormat="1" x14ac:dyDescent="0.25">
      <c r="A23" s="7" t="s">
        <v>3</v>
      </c>
      <c r="B23" s="8" t="s">
        <v>50</v>
      </c>
      <c r="C23" s="7" t="s">
        <v>3</v>
      </c>
      <c r="D23" s="9">
        <f>IF(C10=0,0,(D10-C10)/C10)</f>
      </c>
      <c r="E23" s="9">
        <f>IF(D10=0,0,(E10-D10)/D10)</f>
      </c>
      <c r="F23" s="9">
        <f>IF(E10=0,0,(F10-E10)/E10)</f>
      </c>
      <c r="G23" s="9">
        <f>IF(F10=0,0,(G10-F10)/F10)</f>
      </c>
      <c r="H23" s="9">
        <f>IF(G10=0,0,(H10-G10)/G10)</f>
      </c>
      <c r="I23" s="9">
        <f>IF(H10=0,0,(I10-H10)/H10)</f>
      </c>
      <c r="J23" s="9">
        <f>IF(I10=0,0,(J10-I10)/I10)</f>
      </c>
      <c r="K23" s="9">
        <f>IF(J10=0,0,(K10-J10)/J10)</f>
      </c>
      <c r="L23" s="9">
        <f>IF(K10=0,0,(L10-K10)/K10)</f>
      </c>
      <c r="M23" s="9">
        <f>IF(L10=0,0,(M10-L10)/L10)</f>
      </c>
      <c r="N23" s="9">
        <f>IF(M10=0,0,(N10-M10)/M10)</f>
      </c>
      <c r="O23" s="7" t="s">
        <v>3</v>
      </c>
      <c r="P23" s="7" t="s">
        <v>3</v>
      </c>
      <c r="Q23" s="7" t="s">
        <v>3</v>
      </c>
    </row>
    <row r="24" spans="1:17" s="6" customFormat="1" x14ac:dyDescent="0.25">
      <c r="A24" s="10" t="s">
        <v>3</v>
      </c>
      <c r="B24" s="11" t="s">
        <v>15</v>
      </c>
      <c r="C24" s="10" t="s">
        <v>3</v>
      </c>
      <c r="D24" s="12">
        <f>IF(C11=0,0,(D11-C11)/C11)</f>
      </c>
      <c r="E24" s="12">
        <f>IF(D11=0,0,(E11-D11)/D11)</f>
      </c>
      <c r="F24" s="12">
        <f>IF(E11=0,0,(F11-E11)/E11)</f>
      </c>
      <c r="G24" s="12">
        <f>IF(F11=0,0,(G11-F11)/F11)</f>
      </c>
      <c r="H24" s="12">
        <f>IF(G11=0,0,(H11-G11)/G11)</f>
      </c>
      <c r="I24" s="12">
        <f>IF(H11=0,0,(I11-H11)/H11)</f>
      </c>
      <c r="J24" s="12">
        <f>IF(I11=0,0,(J11-I11)/I11)</f>
      </c>
      <c r="K24" s="12">
        <f>IF(J11=0,0,(K11-J11)/J11)</f>
      </c>
      <c r="L24" s="12">
        <f>IF(K11=0,0,(L11-K11)/K11)</f>
      </c>
      <c r="M24" s="12">
        <f>IF(L11=0,0,(M11-L11)/L11)</f>
      </c>
      <c r="N24" s="12">
        <f>IF(M11=0,0,(N11-M11)/M11)</f>
      </c>
      <c r="O24" s="10" t="s">
        <v>3</v>
      </c>
      <c r="P24" s="10" t="s">
        <v>3</v>
      </c>
      <c r="Q24" s="10" t="s">
        <v>3</v>
      </c>
    </row>
    <row r="25" spans="1:17" s="6" customFormat="1" x14ac:dyDescent="0.25">
      <c r="A25" s="7" t="s">
        <v>3</v>
      </c>
      <c r="B25" s="8" t="s">
        <v>16</v>
      </c>
      <c r="C25" s="7" t="s">
        <v>3</v>
      </c>
      <c r="D25" s="9">
        <f>IF(C12=0,0,(D12-C12)/C12)</f>
      </c>
      <c r="E25" s="9">
        <f>IF(D12=0,0,(E12-D12)/D12)</f>
      </c>
      <c r="F25" s="9">
        <f>IF(E12=0,0,(F12-E12)/E12)</f>
      </c>
      <c r="G25" s="9">
        <f>IF(F12=0,0,(G12-F12)/F12)</f>
      </c>
      <c r="H25" s="9">
        <f>IF(G12=0,0,(H12-G12)/G12)</f>
      </c>
      <c r="I25" s="9">
        <f>IF(H12=0,0,(I12-H12)/H12)</f>
      </c>
      <c r="J25" s="9">
        <f>IF(I12=0,0,(J12-I12)/I12)</f>
      </c>
      <c r="K25" s="9">
        <f>IF(J12=0,0,(K12-J12)/J12)</f>
      </c>
      <c r="L25" s="9">
        <f>IF(K12=0,0,(L12-K12)/K12)</f>
      </c>
      <c r="M25" s="9">
        <f>IF(L12=0,0,(M12-L12)/L12)</f>
      </c>
      <c r="N25" s="9">
        <f>IF(M12=0,0,(N12-M12)/M12)</f>
      </c>
      <c r="O25" s="7" t="s">
        <v>3</v>
      </c>
      <c r="P25" s="7" t="s">
        <v>3</v>
      </c>
      <c r="Q25" s="7" t="s">
        <v>3</v>
      </c>
    </row>
    <row r="26" spans="1:17" s="6" customFormat="1" x14ac:dyDescent="0.25">
      <c r="A26" s="10" t="s">
        <v>3</v>
      </c>
      <c r="B26" s="11" t="s">
        <v>89</v>
      </c>
      <c r="C26" s="10" t="s">
        <v>3</v>
      </c>
      <c r="D26" s="12">
        <f>IF(C13=0,0,(D13-C13)/C13)</f>
      </c>
      <c r="E26" s="12">
        <f>IF(D13=0,0,(E13-D13)/D13)</f>
      </c>
      <c r="F26" s="12">
        <f>IF(E13=0,0,(F13-E13)/E13)</f>
      </c>
      <c r="G26" s="12">
        <f>IF(F13=0,0,(G13-F13)/F13)</f>
      </c>
      <c r="H26" s="12">
        <f>IF(G13=0,0,(H13-G13)/G13)</f>
      </c>
      <c r="I26" s="12">
        <f>IF(H13=0,0,(I13-H13)/H13)</f>
      </c>
      <c r="J26" s="12">
        <f>IF(I13=0,0,(J13-I13)/I13)</f>
      </c>
      <c r="K26" s="12">
        <f>IF(J13=0,0,(K13-J13)/J13)</f>
      </c>
      <c r="L26" s="12">
        <f>IF(K13=0,0,(L13-K13)/K13)</f>
      </c>
      <c r="M26" s="12">
        <f>IF(L13=0,0,(M13-L13)/L13)</f>
      </c>
      <c r="N26" s="12">
        <f>IF(M13=0,0,(N13-M13)/M13)</f>
      </c>
      <c r="O26" s="10" t="s">
        <v>3</v>
      </c>
      <c r="P26" s="10" t="s">
        <v>3</v>
      </c>
      <c r="Q26" s="10" t="s">
        <v>3</v>
      </c>
    </row>
    <row r="27" spans="1:17" s="6" customFormat="1" x14ac:dyDescent="0.25">
      <c r="A27" s="7" t="s">
        <v>3</v>
      </c>
      <c r="B27" s="8" t="s">
        <v>90</v>
      </c>
      <c r="C27" s="7" t="s">
        <v>3</v>
      </c>
      <c r="D27" s="9">
        <f>IF(C14=0,0,(D14-C14)/C14)</f>
      </c>
      <c r="E27" s="9">
        <f>IF(D14=0,0,(E14-D14)/D14)</f>
      </c>
      <c r="F27" s="9">
        <f>IF(E14=0,0,(F14-E14)/E14)</f>
      </c>
      <c r="G27" s="9">
        <f>IF(F14=0,0,(G14-F14)/F14)</f>
      </c>
      <c r="H27" s="9">
        <f>IF(G14=0,0,(H14-G14)/G14)</f>
      </c>
      <c r="I27" s="9">
        <f>IF(H14=0,0,(I14-H14)/H14)</f>
      </c>
      <c r="J27" s="9">
        <f>IF(I14=0,0,(J14-I14)/I14)</f>
      </c>
      <c r="K27" s="9">
        <f>IF(J14=0,0,(K14-J14)/J14)</f>
      </c>
      <c r="L27" s="9">
        <f>IF(K14=0,0,(L14-K14)/K14)</f>
      </c>
      <c r="M27" s="9">
        <f>IF(L14=0,0,(M14-L14)/L14)</f>
      </c>
      <c r="N27" s="9">
        <f>IF(M14=0,0,(N14-M14)/M14)</f>
      </c>
      <c r="O27" s="7" t="s">
        <v>3</v>
      </c>
      <c r="P27" s="7" t="s">
        <v>3</v>
      </c>
      <c r="Q27" s="7" t="s">
        <v>3</v>
      </c>
    </row>
    <row r="30" spans="2:16" x14ac:dyDescent="0.25">
      <c r="B30" s="30" t="s">
        <v>92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 s="4" customFormat="1" x14ac:dyDescent="0.25">
      <c r="A31" s="5" t="s">
        <v>3</v>
      </c>
      <c r="B31" s="5" t="s">
        <v>93</v>
      </c>
      <c r="C31" s="5" t="s">
        <v>75</v>
      </c>
      <c r="D31" s="5" t="s">
        <v>76</v>
      </c>
      <c r="E31" s="5" t="s">
        <v>77</v>
      </c>
      <c r="F31" s="5" t="s">
        <v>78</v>
      </c>
      <c r="G31" s="5" t="s">
        <v>79</v>
      </c>
      <c r="H31" s="5" t="s">
        <v>80</v>
      </c>
      <c r="I31" s="5" t="s">
        <v>81</v>
      </c>
      <c r="J31" s="5" t="s">
        <v>82</v>
      </c>
      <c r="K31" s="5" t="s">
        <v>83</v>
      </c>
      <c r="L31" s="5" t="s">
        <v>84</v>
      </c>
      <c r="M31" s="5" t="s">
        <v>85</v>
      </c>
      <c r="N31" s="5" t="s">
        <v>86</v>
      </c>
      <c r="O31" s="5" t="s">
        <v>3</v>
      </c>
      <c r="P31" s="5" t="s">
        <v>3</v>
      </c>
    </row>
    <row r="32" spans="1:16" s="6" customFormat="1" x14ac:dyDescent="0.25">
      <c r="A32" s="7" t="s">
        <v>3</v>
      </c>
      <c r="B32" s="8" t="s">
        <v>94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7" t="s">
        <v>3</v>
      </c>
      <c r="I32" s="7" t="s">
        <v>3</v>
      </c>
      <c r="J32" s="7" t="s">
        <v>3</v>
      </c>
      <c r="K32" s="7" t="s">
        <v>3</v>
      </c>
      <c r="L32" s="7" t="s">
        <v>3</v>
      </c>
      <c r="M32" s="7" t="s">
        <v>3</v>
      </c>
      <c r="N32" s="7" t="s">
        <v>3</v>
      </c>
      <c r="O32" s="7" t="s">
        <v>3</v>
      </c>
      <c r="P32" s="7" t="s">
        <v>3</v>
      </c>
    </row>
    <row r="33" spans="1:16" s="6" customFormat="1" x14ac:dyDescent="0.25">
      <c r="A33" s="10" t="s">
        <v>3</v>
      </c>
      <c r="B33" s="11" t="s">
        <v>95</v>
      </c>
      <c r="C33" s="10" t="s">
        <v>3</v>
      </c>
      <c r="D33" s="10" t="s">
        <v>3</v>
      </c>
      <c r="E33" s="10" t="s">
        <v>3</v>
      </c>
      <c r="F33" s="10" t="s">
        <v>3</v>
      </c>
      <c r="G33" s="10" t="s">
        <v>3</v>
      </c>
      <c r="H33" s="10" t="s">
        <v>3</v>
      </c>
      <c r="I33" s="10" t="s">
        <v>3</v>
      </c>
      <c r="J33" s="10" t="s">
        <v>3</v>
      </c>
      <c r="K33" s="10" t="s">
        <v>3</v>
      </c>
      <c r="L33" s="10" t="s">
        <v>3</v>
      </c>
      <c r="M33" s="10" t="s">
        <v>3</v>
      </c>
      <c r="N33" s="10" t="s">
        <v>3</v>
      </c>
      <c r="O33" s="10" t="s">
        <v>3</v>
      </c>
      <c r="P33" s="10" t="s">
        <v>3</v>
      </c>
    </row>
    <row r="34" spans="1:16" s="6" customFormat="1" x14ac:dyDescent="0.25">
      <c r="A34" s="7" t="s">
        <v>3</v>
      </c>
      <c r="B34" s="8" t="s">
        <v>96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 t="s">
        <v>3</v>
      </c>
      <c r="N34" s="7" t="s">
        <v>3</v>
      </c>
      <c r="O34" s="7" t="s">
        <v>3</v>
      </c>
      <c r="P34" s="7" t="s">
        <v>3</v>
      </c>
    </row>
    <row r="35" spans="1:16" s="6" customFormat="1" x14ac:dyDescent="0.25">
      <c r="A35" s="10" t="s">
        <v>3</v>
      </c>
      <c r="B35" s="11" t="s">
        <v>97</v>
      </c>
      <c r="C35" s="10" t="s">
        <v>3</v>
      </c>
      <c r="D35" s="10" t="s">
        <v>3</v>
      </c>
      <c r="E35" s="10" t="s">
        <v>3</v>
      </c>
      <c r="F35" s="10" t="s">
        <v>3</v>
      </c>
      <c r="G35" s="10" t="s">
        <v>3</v>
      </c>
      <c r="H35" s="10" t="s">
        <v>3</v>
      </c>
      <c r="I35" s="10" t="s">
        <v>3</v>
      </c>
      <c r="J35" s="10" t="s">
        <v>3</v>
      </c>
      <c r="K35" s="10" t="s">
        <v>3</v>
      </c>
      <c r="L35" s="10" t="s">
        <v>3</v>
      </c>
      <c r="M35" s="10" t="s">
        <v>3</v>
      </c>
      <c r="N35" s="10" t="s">
        <v>3</v>
      </c>
      <c r="O35" s="10" t="s">
        <v>3</v>
      </c>
      <c r="P35" s="10" t="s">
        <v>3</v>
      </c>
    </row>
    <row r="36" spans="1:16" s="6" customFormat="1" x14ac:dyDescent="0.25">
      <c r="A36" s="7" t="s">
        <v>3</v>
      </c>
      <c r="B36" s="8" t="s">
        <v>98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7" t="s">
        <v>3</v>
      </c>
      <c r="I36" s="7" t="s">
        <v>3</v>
      </c>
      <c r="J36" s="7" t="s">
        <v>3</v>
      </c>
      <c r="K36" s="7" t="s">
        <v>3</v>
      </c>
      <c r="L36" s="7" t="s">
        <v>3</v>
      </c>
      <c r="M36" s="7" t="s">
        <v>3</v>
      </c>
      <c r="N36" s="7" t="s">
        <v>3</v>
      </c>
      <c r="O36" s="7" t="s">
        <v>3</v>
      </c>
      <c r="P36" s="7" t="s">
        <v>3</v>
      </c>
    </row>
  </sheetData>
  <mergeCells count="4">
    <mergeCell ref="B2:P2"/>
    <mergeCell ref="B3:P3"/>
    <mergeCell ref="B17:P17"/>
    <mergeCell ref="B30: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F4444"/>
  </sheetPr>
  <dimension ref="A2:I19"/>
  <sheetFormatPr defaultRowHeight="15" outlineLevelRow="0" outlineLevelCol="0" x14ac:dyDescent="55"/>
  <cols>
    <col min="1" max="1" width="3" customWidth="1"/>
    <col min="2" max="2" width="6" customWidth="1"/>
    <col min="3" max="3" width="24" customWidth="1"/>
    <col min="4" max="5" width="32" customWidth="1"/>
    <col min="6" max="6" width="28" customWidth="1"/>
    <col min="7" max="7" width="14" customWidth="1"/>
    <col min="8" max="9" width="16" customWidth="1"/>
    <col min="10" max="10" width="5" customWidth="1"/>
  </cols>
  <sheetData>
    <row r="2" ht="36" customHeight="1" spans="2:9" x14ac:dyDescent="0.25">
      <c r="B2" s="15" t="s">
        <v>99</v>
      </c>
      <c r="C2" s="15"/>
      <c r="D2" s="15"/>
      <c r="E2" s="15"/>
      <c r="F2" s="15"/>
      <c r="G2" s="15"/>
      <c r="H2" s="15"/>
      <c r="I2" s="15"/>
    </row>
    <row r="3" spans="2:9" x14ac:dyDescent="0.25">
      <c r="B3" s="16" t="s">
        <v>100</v>
      </c>
      <c r="C3" s="16"/>
      <c r="D3" s="16"/>
      <c r="E3" s="16"/>
      <c r="F3" s="16"/>
      <c r="G3" s="16"/>
      <c r="H3" s="16"/>
      <c r="I3" s="16"/>
    </row>
    <row r="5" ht="28" customHeight="1" spans="1:9" s="4" customFormat="1" x14ac:dyDescent="0.25">
      <c r="A5" s="5" t="s">
        <v>3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108</v>
      </c>
    </row>
    <row r="6" ht="50" customHeight="1" spans="1:9" s="32" customFormat="1" x14ac:dyDescent="0.25">
      <c r="A6" s="33" t="s">
        <v>3</v>
      </c>
      <c r="B6" s="33">
        <v>1</v>
      </c>
      <c r="C6" s="34" t="s">
        <v>109</v>
      </c>
      <c r="D6" s="33" t="s">
        <v>110</v>
      </c>
      <c r="E6" s="33" t="s">
        <v>111</v>
      </c>
      <c r="F6" s="33" t="s">
        <v>112</v>
      </c>
      <c r="G6" s="33" t="s">
        <v>113</v>
      </c>
      <c r="H6" s="33" t="s">
        <v>114</v>
      </c>
      <c r="I6" s="33" t="s">
        <v>115</v>
      </c>
    </row>
    <row r="7" ht="50" customHeight="1" spans="1:9" s="32" customFormat="1" x14ac:dyDescent="0.25">
      <c r="A7" s="35" t="s">
        <v>3</v>
      </c>
      <c r="B7" s="35">
        <v>2</v>
      </c>
      <c r="C7" s="35" t="s">
        <v>3</v>
      </c>
      <c r="D7" s="35" t="s">
        <v>3</v>
      </c>
      <c r="E7" s="35" t="s">
        <v>3</v>
      </c>
      <c r="F7" s="35" t="s">
        <v>3</v>
      </c>
      <c r="G7" s="35" t="s">
        <v>3</v>
      </c>
      <c r="H7" s="35" t="s">
        <v>3</v>
      </c>
      <c r="I7" s="35" t="s">
        <v>3</v>
      </c>
    </row>
    <row r="8" ht="50" customHeight="1" spans="1:9" s="32" customFormat="1" x14ac:dyDescent="0.25">
      <c r="A8" s="36" t="s">
        <v>3</v>
      </c>
      <c r="B8" s="36">
        <v>3</v>
      </c>
      <c r="C8" s="36" t="s">
        <v>3</v>
      </c>
      <c r="D8" s="36" t="s">
        <v>3</v>
      </c>
      <c r="E8" s="36" t="s">
        <v>3</v>
      </c>
      <c r="F8" s="36" t="s">
        <v>3</v>
      </c>
      <c r="G8" s="36" t="s">
        <v>3</v>
      </c>
      <c r="H8" s="36" t="s">
        <v>3</v>
      </c>
      <c r="I8" s="36" t="s">
        <v>3</v>
      </c>
    </row>
    <row r="9" ht="50" customHeight="1" spans="1:9" s="32" customFormat="1" x14ac:dyDescent="0.25">
      <c r="A9" s="35" t="s">
        <v>3</v>
      </c>
      <c r="B9" s="35">
        <v>4</v>
      </c>
      <c r="C9" s="35" t="s">
        <v>3</v>
      </c>
      <c r="D9" s="35" t="s">
        <v>3</v>
      </c>
      <c r="E9" s="35" t="s">
        <v>3</v>
      </c>
      <c r="F9" s="35" t="s">
        <v>3</v>
      </c>
      <c r="G9" s="35" t="s">
        <v>3</v>
      </c>
      <c r="H9" s="35" t="s">
        <v>3</v>
      </c>
      <c r="I9" s="35" t="s">
        <v>3</v>
      </c>
    </row>
    <row r="10" ht="50" customHeight="1" spans="1:9" s="32" customFormat="1" x14ac:dyDescent="0.25">
      <c r="A10" s="36" t="s">
        <v>3</v>
      </c>
      <c r="B10" s="36">
        <v>5</v>
      </c>
      <c r="C10" s="36" t="s">
        <v>3</v>
      </c>
      <c r="D10" s="36" t="s">
        <v>3</v>
      </c>
      <c r="E10" s="36" t="s">
        <v>3</v>
      </c>
      <c r="F10" s="36" t="s">
        <v>3</v>
      </c>
      <c r="G10" s="36" t="s">
        <v>3</v>
      </c>
      <c r="H10" s="36" t="s">
        <v>3</v>
      </c>
      <c r="I10" s="36" t="s">
        <v>3</v>
      </c>
    </row>
    <row r="11" ht="50" customHeight="1" spans="1:9" s="32" customFormat="1" x14ac:dyDescent="0.25">
      <c r="A11" s="35" t="s">
        <v>3</v>
      </c>
      <c r="B11" s="35">
        <v>6</v>
      </c>
      <c r="C11" s="35" t="s">
        <v>3</v>
      </c>
      <c r="D11" s="35" t="s">
        <v>3</v>
      </c>
      <c r="E11" s="35" t="s">
        <v>3</v>
      </c>
      <c r="F11" s="35" t="s">
        <v>3</v>
      </c>
      <c r="G11" s="35" t="s">
        <v>3</v>
      </c>
      <c r="H11" s="35" t="s">
        <v>3</v>
      </c>
      <c r="I11" s="35" t="s">
        <v>3</v>
      </c>
    </row>
    <row r="12" ht="50" customHeight="1" spans="1:9" s="32" customFormat="1" x14ac:dyDescent="0.25">
      <c r="A12" s="36" t="s">
        <v>3</v>
      </c>
      <c r="B12" s="36">
        <v>7</v>
      </c>
      <c r="C12" s="36" t="s">
        <v>3</v>
      </c>
      <c r="D12" s="36" t="s">
        <v>3</v>
      </c>
      <c r="E12" s="36" t="s">
        <v>3</v>
      </c>
      <c r="F12" s="36" t="s">
        <v>3</v>
      </c>
      <c r="G12" s="36" t="s">
        <v>3</v>
      </c>
      <c r="H12" s="36" t="s">
        <v>3</v>
      </c>
      <c r="I12" s="36" t="s">
        <v>3</v>
      </c>
    </row>
    <row r="13" ht="50" customHeight="1" spans="1:9" s="32" customFormat="1" x14ac:dyDescent="0.25">
      <c r="A13" s="35" t="s">
        <v>3</v>
      </c>
      <c r="B13" s="35">
        <v>8</v>
      </c>
      <c r="C13" s="35" t="s">
        <v>3</v>
      </c>
      <c r="D13" s="35" t="s">
        <v>3</v>
      </c>
      <c r="E13" s="35" t="s">
        <v>3</v>
      </c>
      <c r="F13" s="35" t="s">
        <v>3</v>
      </c>
      <c r="G13" s="35" t="s">
        <v>3</v>
      </c>
      <c r="H13" s="35" t="s">
        <v>3</v>
      </c>
      <c r="I13" s="35" t="s">
        <v>3</v>
      </c>
    </row>
    <row r="16" spans="2:9" x14ac:dyDescent="0.25">
      <c r="B16" s="30" t="s">
        <v>116</v>
      </c>
      <c r="C16" s="30"/>
      <c r="D16" s="30"/>
      <c r="E16" s="30"/>
      <c r="F16" s="30"/>
      <c r="G16" s="30"/>
      <c r="H16" s="30"/>
      <c r="I16" s="30"/>
    </row>
    <row r="17" spans="2:9" x14ac:dyDescent="0.25">
      <c r="B17" t="s">
        <v>3</v>
      </c>
      <c r="C17" s="23" t="s">
        <v>117</v>
      </c>
      <c r="D17" s="23"/>
      <c r="E17" s="37" t="s">
        <v>118</v>
      </c>
      <c r="F17" s="38" t="s">
        <v>119</v>
      </c>
      <c r="G17" s="38"/>
      <c r="H17" s="38"/>
      <c r="I17" s="38"/>
    </row>
    <row r="18" spans="2:9" x14ac:dyDescent="0.25">
      <c r="B18" t="s">
        <v>3</v>
      </c>
      <c r="C18" s="23" t="s">
        <v>120</v>
      </c>
      <c r="D18" s="23"/>
      <c r="E18" s="37" t="s">
        <v>118</v>
      </c>
      <c r="F18" s="38" t="s">
        <v>121</v>
      </c>
      <c r="G18" s="38"/>
      <c r="H18" s="38"/>
      <c r="I18" s="38"/>
    </row>
    <row r="19" spans="2:9" x14ac:dyDescent="0.25">
      <c r="B19" t="s">
        <v>3</v>
      </c>
      <c r="C19" s="23" t="s">
        <v>122</v>
      </c>
      <c r="D19" s="23"/>
      <c r="E19" s="37" t="s">
        <v>118</v>
      </c>
      <c r="F19" s="38" t="s">
        <v>123</v>
      </c>
      <c r="G19" s="38"/>
      <c r="H19" s="38"/>
      <c r="I19" s="38"/>
    </row>
  </sheetData>
  <mergeCells count="9">
    <mergeCell ref="B2:I2"/>
    <mergeCell ref="B3:I3"/>
    <mergeCell ref="B16:I16"/>
    <mergeCell ref="C17:D17"/>
    <mergeCell ref="F17:I17"/>
    <mergeCell ref="C18:D18"/>
    <mergeCell ref="F18:I18"/>
    <mergeCell ref="C19:D19"/>
    <mergeCell ref="F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B7280"/>
  </sheetPr>
  <dimension ref="A2:C52"/>
  <sheetFormatPr defaultRowHeight="15" outlineLevelRow="0" outlineLevelCol="0" x14ac:dyDescent="55"/>
  <cols>
    <col min="1" max="1" width="3" customWidth="1"/>
    <col min="2" max="2" width="24" customWidth="1"/>
    <col min="3" max="3" width="60" customWidth="1"/>
    <col min="4" max="4" width="5" customWidth="1"/>
  </cols>
  <sheetData>
    <row r="2" ht="36" customHeight="1" spans="2:3" x14ac:dyDescent="0.25">
      <c r="B2" s="15" t="s">
        <v>124</v>
      </c>
      <c r="C2" s="15"/>
    </row>
    <row r="4" spans="2:3" x14ac:dyDescent="0.25">
      <c r="B4" s="3" t="s">
        <v>125</v>
      </c>
      <c r="C4" s="3"/>
    </row>
    <row r="5" spans="1:3" s="4" customFormat="1" x14ac:dyDescent="0.25">
      <c r="A5" s="5" t="s">
        <v>3</v>
      </c>
      <c r="B5" s="5" t="s">
        <v>4</v>
      </c>
      <c r="C5" s="5" t="s">
        <v>126</v>
      </c>
    </row>
    <row r="6" spans="1:3" s="6" customFormat="1" x14ac:dyDescent="0.25">
      <c r="A6" s="7" t="s">
        <v>3</v>
      </c>
      <c r="B6" s="8" t="s">
        <v>32</v>
      </c>
      <c r="C6" s="39" t="s">
        <v>127</v>
      </c>
    </row>
    <row r="7" spans="1:3" s="6" customFormat="1" x14ac:dyDescent="0.25">
      <c r="A7" s="10" t="s">
        <v>3</v>
      </c>
      <c r="B7" s="11" t="s">
        <v>33</v>
      </c>
      <c r="C7" s="40" t="s">
        <v>128</v>
      </c>
    </row>
    <row r="8" spans="1:3" s="6" customFormat="1" x14ac:dyDescent="0.25">
      <c r="A8" s="7" t="s">
        <v>3</v>
      </c>
      <c r="B8" s="8" t="s">
        <v>129</v>
      </c>
      <c r="C8" s="39" t="s">
        <v>130</v>
      </c>
    </row>
    <row r="9" spans="1:3" s="6" customFormat="1" x14ac:dyDescent="0.25">
      <c r="A9" s="10" t="s">
        <v>3</v>
      </c>
      <c r="B9" s="11" t="s">
        <v>35</v>
      </c>
      <c r="C9" s="40" t="s">
        <v>131</v>
      </c>
    </row>
    <row r="10" spans="1:3" s="6" customFormat="1" x14ac:dyDescent="0.25">
      <c r="A10" s="7" t="s">
        <v>3</v>
      </c>
      <c r="B10" s="8" t="s">
        <v>16</v>
      </c>
      <c r="C10" s="39" t="s">
        <v>132</v>
      </c>
    </row>
    <row r="11" spans="1:3" s="6" customFormat="1" x14ac:dyDescent="0.25">
      <c r="A11" s="10" t="s">
        <v>3</v>
      </c>
      <c r="B11" s="11" t="s">
        <v>133</v>
      </c>
      <c r="C11" s="40" t="s">
        <v>134</v>
      </c>
    </row>
    <row r="12" spans="1:3" s="6" customFormat="1" x14ac:dyDescent="0.25">
      <c r="A12" s="7" t="s">
        <v>3</v>
      </c>
      <c r="B12" s="8" t="s">
        <v>135</v>
      </c>
      <c r="C12" s="39" t="s">
        <v>136</v>
      </c>
    </row>
    <row r="13" spans="1:3" s="6" customFormat="1" x14ac:dyDescent="0.25">
      <c r="A13" s="10" t="s">
        <v>3</v>
      </c>
      <c r="B13" s="11" t="s">
        <v>37</v>
      </c>
      <c r="C13" s="40" t="s">
        <v>137</v>
      </c>
    </row>
    <row r="14" spans="1:3" s="6" customFormat="1" x14ac:dyDescent="0.25">
      <c r="A14" s="7" t="s">
        <v>3</v>
      </c>
      <c r="B14" s="8" t="s">
        <v>138</v>
      </c>
      <c r="C14" s="39" t="s">
        <v>139</v>
      </c>
    </row>
    <row r="15" spans="1:3" s="6" customFormat="1" x14ac:dyDescent="0.25">
      <c r="A15" s="10" t="s">
        <v>3</v>
      </c>
      <c r="B15" s="11" t="s">
        <v>140</v>
      </c>
      <c r="C15" s="40" t="s">
        <v>141</v>
      </c>
    </row>
    <row r="16" spans="1:3" s="6" customFormat="1" x14ac:dyDescent="0.25">
      <c r="A16" s="7" t="s">
        <v>3</v>
      </c>
      <c r="B16" s="8" t="s">
        <v>142</v>
      </c>
      <c r="C16" s="39" t="s">
        <v>143</v>
      </c>
    </row>
    <row r="17" spans="1:3" s="6" customFormat="1" x14ac:dyDescent="0.25">
      <c r="A17" s="10" t="s">
        <v>3</v>
      </c>
      <c r="B17" s="11" t="s">
        <v>144</v>
      </c>
      <c r="C17" s="40" t="s">
        <v>145</v>
      </c>
    </row>
    <row r="18" spans="1:3" s="6" customFormat="1" x14ac:dyDescent="0.25">
      <c r="A18" s="7" t="s">
        <v>3</v>
      </c>
      <c r="B18" s="8" t="s">
        <v>146</v>
      </c>
      <c r="C18" s="39" t="s">
        <v>147</v>
      </c>
    </row>
    <row r="19" spans="1:3" s="6" customFormat="1" x14ac:dyDescent="0.25">
      <c r="A19" s="10" t="s">
        <v>3</v>
      </c>
      <c r="B19" s="11" t="s">
        <v>148</v>
      </c>
      <c r="C19" s="40" t="s">
        <v>149</v>
      </c>
    </row>
    <row r="22" spans="2:3" x14ac:dyDescent="0.25">
      <c r="B22" s="3" t="s">
        <v>150</v>
      </c>
      <c r="C22" s="3"/>
    </row>
    <row r="23" spans="1:3" s="4" customFormat="1" x14ac:dyDescent="0.25">
      <c r="A23" s="5" t="s">
        <v>3</v>
      </c>
      <c r="B23" s="5" t="s">
        <v>151</v>
      </c>
      <c r="C23" s="5" t="s">
        <v>152</v>
      </c>
    </row>
    <row r="24" spans="1:3" s="6" customFormat="1" x14ac:dyDescent="0.25">
      <c r="A24" s="7" t="s">
        <v>3</v>
      </c>
      <c r="B24" s="8" t="s">
        <v>153</v>
      </c>
      <c r="C24" s="7" t="s">
        <v>154</v>
      </c>
    </row>
    <row r="25" spans="1:3" s="6" customFormat="1" x14ac:dyDescent="0.25">
      <c r="A25" s="10" t="s">
        <v>3</v>
      </c>
      <c r="B25" s="11" t="s">
        <v>155</v>
      </c>
      <c r="C25" s="10" t="s">
        <v>156</v>
      </c>
    </row>
    <row r="26" spans="1:3" s="6" customFormat="1" x14ac:dyDescent="0.25">
      <c r="A26" s="7" t="s">
        <v>3</v>
      </c>
      <c r="B26" s="8" t="s">
        <v>157</v>
      </c>
      <c r="C26" s="7" t="s">
        <v>158</v>
      </c>
    </row>
    <row r="27" spans="1:3" s="6" customFormat="1" x14ac:dyDescent="0.25">
      <c r="A27" s="10" t="s">
        <v>3</v>
      </c>
      <c r="B27" s="11" t="s">
        <v>159</v>
      </c>
      <c r="C27" s="10" t="s">
        <v>160</v>
      </c>
    </row>
    <row r="28" spans="1:3" s="6" customFormat="1" x14ac:dyDescent="0.25">
      <c r="A28" s="7" t="s">
        <v>3</v>
      </c>
      <c r="B28" s="8" t="s">
        <v>161</v>
      </c>
      <c r="C28" s="7" t="s">
        <v>162</v>
      </c>
    </row>
    <row r="29" spans="1:3" s="6" customFormat="1" x14ac:dyDescent="0.25">
      <c r="A29" s="10" t="s">
        <v>3</v>
      </c>
      <c r="B29" s="11" t="s">
        <v>163</v>
      </c>
      <c r="C29" s="10" t="s">
        <v>164</v>
      </c>
    </row>
    <row r="32" spans="2:3" x14ac:dyDescent="0.25">
      <c r="B32" s="3" t="s">
        <v>165</v>
      </c>
      <c r="C32" s="3"/>
    </row>
    <row r="33" spans="1:3" s="4" customFormat="1" x14ac:dyDescent="0.25">
      <c r="A33" s="5" t="s">
        <v>3</v>
      </c>
      <c r="B33" s="5" t="s">
        <v>30</v>
      </c>
      <c r="C33" s="5" t="s">
        <v>166</v>
      </c>
    </row>
    <row r="34" spans="1:3" s="6" customFormat="1" x14ac:dyDescent="0.25">
      <c r="A34" s="7" t="s">
        <v>3</v>
      </c>
      <c r="B34" s="8" t="s">
        <v>39</v>
      </c>
      <c r="C34" s="7" t="s">
        <v>167</v>
      </c>
    </row>
    <row r="35" spans="1:3" s="6" customFormat="1" x14ac:dyDescent="0.25">
      <c r="A35" s="10" t="s">
        <v>3</v>
      </c>
      <c r="B35" s="11" t="s">
        <v>40</v>
      </c>
      <c r="C35" s="10" t="s">
        <v>168</v>
      </c>
    </row>
    <row r="36" spans="1:3" s="6" customFormat="1" x14ac:dyDescent="0.25">
      <c r="A36" s="7" t="s">
        <v>3</v>
      </c>
      <c r="B36" s="8" t="s">
        <v>41</v>
      </c>
      <c r="C36" s="7" t="s">
        <v>169</v>
      </c>
    </row>
    <row r="37" spans="1:3" s="6" customFormat="1" x14ac:dyDescent="0.25">
      <c r="A37" s="10" t="s">
        <v>3</v>
      </c>
      <c r="B37" s="11" t="s">
        <v>42</v>
      </c>
      <c r="C37" s="10" t="s">
        <v>170</v>
      </c>
    </row>
    <row r="38" spans="1:3" s="6" customFormat="1" x14ac:dyDescent="0.25">
      <c r="A38" s="7" t="s">
        <v>3</v>
      </c>
      <c r="B38" s="8" t="s">
        <v>43</v>
      </c>
      <c r="C38" s="7" t="s">
        <v>171</v>
      </c>
    </row>
    <row r="39" spans="1:3" s="6" customFormat="1" x14ac:dyDescent="0.25">
      <c r="A39" s="10" t="s">
        <v>3</v>
      </c>
      <c r="B39" s="11" t="s">
        <v>44</v>
      </c>
      <c r="C39" s="10" t="s">
        <v>172</v>
      </c>
    </row>
    <row r="40" spans="1:3" s="6" customFormat="1" x14ac:dyDescent="0.25">
      <c r="A40" s="7" t="s">
        <v>3</v>
      </c>
      <c r="B40" s="8" t="s">
        <v>45</v>
      </c>
      <c r="C40" s="7" t="s">
        <v>173</v>
      </c>
    </row>
    <row r="41" spans="1:3" s="6" customFormat="1" x14ac:dyDescent="0.25">
      <c r="A41" s="10" t="s">
        <v>3</v>
      </c>
      <c r="B41" s="11" t="s">
        <v>174</v>
      </c>
      <c r="C41" s="10" t="s">
        <v>175</v>
      </c>
    </row>
    <row r="44" spans="2:3" x14ac:dyDescent="0.25">
      <c r="B44" s="3" t="s">
        <v>176</v>
      </c>
      <c r="C44" s="3"/>
    </row>
    <row r="45" ht="22" customHeight="1" spans="2:3" x14ac:dyDescent="0.25">
      <c r="B45" s="41" t="s">
        <v>177</v>
      </c>
      <c r="C45" s="41"/>
    </row>
    <row r="46" ht="22" customHeight="1" spans="2:3" x14ac:dyDescent="0.25">
      <c r="B46" s="41" t="s">
        <v>178</v>
      </c>
      <c r="C46" s="41"/>
    </row>
    <row r="47" ht="22" customHeight="1" spans="2:3" x14ac:dyDescent="0.25">
      <c r="B47" s="41" t="s">
        <v>179</v>
      </c>
      <c r="C47" s="41"/>
    </row>
    <row r="48" ht="22" customHeight="1" spans="2:3" x14ac:dyDescent="0.25">
      <c r="B48" s="41" t="s">
        <v>180</v>
      </c>
      <c r="C48" s="41"/>
    </row>
    <row r="49" ht="22" customHeight="1" spans="2:3" x14ac:dyDescent="0.25">
      <c r="B49" s="41" t="s">
        <v>181</v>
      </c>
      <c r="C49" s="41"/>
    </row>
    <row r="50" ht="22" customHeight="1" spans="2:3" x14ac:dyDescent="0.25">
      <c r="B50" s="41" t="s">
        <v>182</v>
      </c>
      <c r="C50" s="41"/>
    </row>
    <row r="51" ht="22" customHeight="1" spans="2:3" x14ac:dyDescent="0.25">
      <c r="B51" s="41" t="s">
        <v>183</v>
      </c>
      <c r="C51" s="41"/>
    </row>
    <row r="52" ht="22" customHeight="1" spans="2:3" x14ac:dyDescent="0.25">
      <c r="B52" s="41" t="s">
        <v>184</v>
      </c>
      <c r="C52" s="41"/>
    </row>
  </sheetData>
  <mergeCells count="13">
    <mergeCell ref="B2:C2"/>
    <mergeCell ref="B4:C4"/>
    <mergeCell ref="B22:C22"/>
    <mergeCell ref="B32:C32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Channel Performance</vt:lpstr>
      <vt:lpstr>KPI Dashboard</vt:lpstr>
      <vt:lpstr>Monthly Trends</vt:lpstr>
      <vt:lpstr>Recommendations</vt:lpstr>
      <vt:lpstr>Setup &amp;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AI Marketing Stack</dc:creator>
  <dc:title/>
  <dc:subject/>
  <dc:description/>
  <cp:keywords/>
  <cp:category/>
  <cp:lastModifiedBy>Unknown</cp:lastModifiedBy>
  <dcterms:created xsi:type="dcterms:W3CDTF">2026-04-03T19:16:48Z</dcterms:created>
  <dcterms:modified xsi:type="dcterms:W3CDTF">2026-04-03T19:16:48Z</dcterms:modified>
</cp:coreProperties>
</file>